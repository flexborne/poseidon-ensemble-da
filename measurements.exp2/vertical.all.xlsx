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ik\WORK\2024_NFD_PoseidonDA\DAwork\measurements\vertical\"/>
    </mc:Choice>
  </mc:AlternateContent>
  <bookViews>
    <workbookView xWindow="0" yWindow="0" windowWidth="28800" windowHeight="13725"/>
  </bookViews>
  <sheets>
    <sheet name="stations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B8" i="2"/>
  <c r="C8" i="2"/>
  <c r="G9" i="1"/>
  <c r="F9" i="1"/>
  <c r="A2" i="2" l="1"/>
  <c r="A3" i="2"/>
  <c r="A4" i="2"/>
  <c r="A5" i="2"/>
  <c r="A6" i="2"/>
  <c r="A7" i="2"/>
  <c r="A1" i="2"/>
  <c r="B2" i="2" l="1"/>
  <c r="C2" i="2"/>
  <c r="B3" i="2"/>
  <c r="C3" i="2"/>
  <c r="B4" i="2"/>
  <c r="C4" i="2"/>
  <c r="B5" i="2"/>
  <c r="C5" i="2"/>
  <c r="B6" i="2"/>
  <c r="C6" i="2"/>
  <c r="B7" i="2"/>
  <c r="C7" i="2"/>
  <c r="C1" i="2"/>
  <c r="B1" i="2"/>
  <c r="F3" i="1"/>
  <c r="G3" i="1"/>
  <c r="F4" i="1"/>
  <c r="G4" i="1"/>
  <c r="F5" i="1"/>
  <c r="G5" i="1"/>
  <c r="F6" i="1"/>
  <c r="G6" i="1"/>
  <c r="F7" i="1"/>
  <c r="G7" i="1"/>
  <c r="F8" i="1"/>
  <c r="G8" i="1"/>
  <c r="G2" i="1"/>
  <c r="F2" i="1"/>
</calcChain>
</file>

<file path=xl/sharedStrings.xml><?xml version="1.0" encoding="utf-8"?>
<sst xmlns="http://schemas.openxmlformats.org/spreadsheetml/2006/main" count="14" uniqueCount="14">
  <si>
    <t>StNum</t>
  </si>
  <si>
    <t>Lon-deg</t>
  </si>
  <si>
    <t>Lat-deg</t>
  </si>
  <si>
    <t>Lat-min</t>
  </si>
  <si>
    <t>Lon-minut</t>
  </si>
  <si>
    <t>1986.75.s10</t>
  </si>
  <si>
    <t>1986.75.s24</t>
  </si>
  <si>
    <t>1987.5.s10</t>
  </si>
  <si>
    <t>1987.5.s24</t>
  </si>
  <si>
    <t>1988.5.s09</t>
  </si>
  <si>
    <t>1988.5.s10</t>
  </si>
  <si>
    <t>1988.5.s19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</si>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</sst>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7" sqref="A7:C8"/>
    </sheetView>
  </sheetViews>
  <sheetFormatPr defaultRowHeight="15" x14ac:dyDescent="0.25"/>
  <cols>
    <col min="3" max="3" width="14.42578125" customWidth="1"/>
  </cols>
  <sheetData>
    <row r="1" spans="1:3" x14ac:dyDescent="0.25">
      <c r="A1">
        <f>Sheet1!F2</f>
        <v>30.424666666666667</v>
      </c>
      <c r="B1">
        <f>Sheet1!G2</f>
        <v>40.816166666666668</v>
      </c>
      <c r="C1" t="str">
        <f>Sheet1!A2</f>
        <v>1986.75.s10</v>
      </c>
    </row>
    <row r="2" spans="1:3" x14ac:dyDescent="0.25">
      <c r="A2">
        <f>Sheet1!F3</f>
        <v>29.319666666666667</v>
      </c>
      <c r="B2">
        <f>Sheet1!G3</f>
        <v>41.408166666666666</v>
      </c>
      <c r="C2" t="str">
        <f>Sheet1!A3</f>
        <v>1986.75.s24</v>
      </c>
    </row>
    <row r="3" spans="1:3" x14ac:dyDescent="0.25">
      <c r="A3">
        <f>Sheet1!F4</f>
        <v>30.437833333333334</v>
      </c>
      <c r="B3">
        <f>Sheet1!G4</f>
        <v>41.808166666666665</v>
      </c>
      <c r="C3" t="str">
        <f>Sheet1!A4</f>
        <v>1987.5.s10</v>
      </c>
    </row>
    <row r="4" spans="1:3" x14ac:dyDescent="0.25">
      <c r="A4">
        <f>Sheet1!F5</f>
        <v>29.291666666666668</v>
      </c>
      <c r="B4">
        <f>Sheet1!G5</f>
        <v>41.416666666666664</v>
      </c>
      <c r="C4" t="str">
        <f>Sheet1!A5</f>
        <v>1987.5.s24</v>
      </c>
    </row>
    <row r="5" spans="1:3" x14ac:dyDescent="0.25">
      <c r="A5">
        <f>Sheet1!F6</f>
        <v>30.350666666666665</v>
      </c>
      <c r="B5">
        <f>Sheet1!G6</f>
        <v>41.841666666666669</v>
      </c>
      <c r="C5" t="str">
        <f>Sheet1!A6</f>
        <v>1988.5.s10</v>
      </c>
    </row>
    <row r="6" spans="1:3" x14ac:dyDescent="0.25">
      <c r="A6">
        <f>Sheet1!F7</f>
        <v>31.3</v>
      </c>
      <c r="B6">
        <f>Sheet1!G7</f>
        <v>42.160333333333334</v>
      </c>
      <c r="C6" t="str">
        <f>Sheet1!A7</f>
        <v>1988.5.s09</v>
      </c>
    </row>
    <row r="7" spans="1:3" x14ac:dyDescent="0.25">
      <c r="A7">
        <f>Sheet1!F8</f>
        <v>40.741166666666665</v>
      </c>
      <c r="B7">
        <f>Sheet1!G8</f>
        <v>41.504666666666665</v>
      </c>
      <c r="C7" t="str">
        <f>Sheet1!A8</f>
        <v>1988.5.s19</v>
      </c>
    </row>
    <row r="8" spans="1:3" x14ac:dyDescent="0.25">
      <c r="A8">
        <f>Sheet1!F9</f>
        <v>30.75</v>
      </c>
      <c r="B8">
        <f>Sheet1!G9</f>
        <v>42.5</v>
      </c>
      <c r="C8">
        <f>Sheet1!A9</f>
        <v>2007.5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8" sqref="G8:G9"/>
    </sheetView>
  </sheetViews>
  <sheetFormatPr defaultRowHeight="15" x14ac:dyDescent="0.25"/>
  <cols>
    <col min="1" max="1" width="20.710937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12</v>
      </c>
      <c r="G1" t="s">
        <v>13</v>
      </c>
    </row>
    <row r="2" spans="1:7" x14ac:dyDescent="0.25">
      <c r="A2" t="s">
        <v>5</v>
      </c>
      <c r="B2">
        <v>30</v>
      </c>
      <c r="C2">
        <v>25.48</v>
      </c>
      <c r="D2">
        <v>40</v>
      </c>
      <c r="E2">
        <v>48.97</v>
      </c>
      <c r="F2">
        <f>B2+C2/60</f>
        <v>30.424666666666667</v>
      </c>
      <c r="G2">
        <f>D2+E2/60</f>
        <v>40.816166666666668</v>
      </c>
    </row>
    <row r="3" spans="1:7" x14ac:dyDescent="0.25">
      <c r="A3" t="s">
        <v>6</v>
      </c>
      <c r="B3">
        <v>29</v>
      </c>
      <c r="C3">
        <v>19.18</v>
      </c>
      <c r="D3">
        <v>41</v>
      </c>
      <c r="E3">
        <v>24.49</v>
      </c>
      <c r="F3">
        <f t="shared" ref="F3:F9" si="0">B3+C3/60</f>
        <v>29.319666666666667</v>
      </c>
      <c r="G3">
        <f t="shared" ref="G3:G9" si="1">D3+E3/60</f>
        <v>41.408166666666666</v>
      </c>
    </row>
    <row r="4" spans="1:7" x14ac:dyDescent="0.25">
      <c r="A4" t="s">
        <v>7</v>
      </c>
      <c r="B4">
        <v>30</v>
      </c>
      <c r="C4">
        <v>26.27</v>
      </c>
      <c r="D4">
        <v>41</v>
      </c>
      <c r="E4">
        <v>48.49</v>
      </c>
      <c r="F4">
        <f t="shared" si="0"/>
        <v>30.437833333333334</v>
      </c>
      <c r="G4">
        <f t="shared" si="1"/>
        <v>41.808166666666665</v>
      </c>
    </row>
    <row r="5" spans="1:7" x14ac:dyDescent="0.25">
      <c r="A5" t="s">
        <v>8</v>
      </c>
      <c r="B5">
        <v>29</v>
      </c>
      <c r="C5">
        <v>17.5</v>
      </c>
      <c r="D5">
        <v>41</v>
      </c>
      <c r="E5">
        <v>25</v>
      </c>
      <c r="F5">
        <f t="shared" si="0"/>
        <v>29.291666666666668</v>
      </c>
      <c r="G5">
        <f t="shared" si="1"/>
        <v>41.416666666666664</v>
      </c>
    </row>
    <row r="6" spans="1:7" x14ac:dyDescent="0.25">
      <c r="A6" t="s">
        <v>10</v>
      </c>
      <c r="B6">
        <v>30</v>
      </c>
      <c r="C6">
        <v>21.04</v>
      </c>
      <c r="D6">
        <v>41</v>
      </c>
      <c r="E6">
        <v>50.5</v>
      </c>
      <c r="F6">
        <f t="shared" si="0"/>
        <v>30.350666666666665</v>
      </c>
      <c r="G6">
        <f t="shared" si="1"/>
        <v>41.841666666666669</v>
      </c>
    </row>
    <row r="7" spans="1:7" x14ac:dyDescent="0.25">
      <c r="A7" t="s">
        <v>9</v>
      </c>
      <c r="B7">
        <v>31</v>
      </c>
      <c r="C7">
        <v>18</v>
      </c>
      <c r="D7">
        <v>42</v>
      </c>
      <c r="E7">
        <v>9.6199999999999992</v>
      </c>
      <c r="F7">
        <f t="shared" si="0"/>
        <v>31.3</v>
      </c>
      <c r="G7">
        <f t="shared" si="1"/>
        <v>42.160333333333334</v>
      </c>
    </row>
    <row r="8" spans="1:7" x14ac:dyDescent="0.25">
      <c r="A8" t="s">
        <v>11</v>
      </c>
      <c r="B8">
        <v>40</v>
      </c>
      <c r="C8">
        <v>44.47</v>
      </c>
      <c r="D8">
        <v>41</v>
      </c>
      <c r="E8">
        <v>30.28</v>
      </c>
      <c r="F8">
        <f t="shared" si="0"/>
        <v>40.741166666666665</v>
      </c>
      <c r="G8">
        <f t="shared" si="1"/>
        <v>41.504666666666665</v>
      </c>
    </row>
    <row r="9" spans="1:7" x14ac:dyDescent="0.25">
      <c r="A9">
        <v>2007.5</v>
      </c>
      <c r="B9">
        <v>30</v>
      </c>
      <c r="C9">
        <v>45</v>
      </c>
      <c r="D9">
        <v>42</v>
      </c>
      <c r="E9">
        <v>30</v>
      </c>
      <c r="F9">
        <f t="shared" si="0"/>
        <v>30.75</v>
      </c>
      <c r="G9">
        <f t="shared" si="1"/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2025-08-22T10:52:10Z</dcterms:created>
  <dcterms:modified xsi:type="dcterms:W3CDTF">2025-08-22T12:05:51Z</dcterms:modified>
</cp:coreProperties>
</file>