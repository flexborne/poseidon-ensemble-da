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ik\WORK\2024_NFD_PoseidonDA\DAwork\DAruns.04(BoundaryObs)\03.RunDA\matlab\"/>
    </mc:Choice>
  </mc:AlternateContent>
  <bookViews>
    <workbookView xWindow="0" yWindow="0" windowWidth="28800" windowHeight="13725"/>
  </bookViews>
  <sheets>
    <sheet name="Sheet1" sheetId="1" r:id="rId1"/>
    <sheet name="head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0" i="1" l="1"/>
  <c r="J39" i="1"/>
  <c r="K30" i="1"/>
  <c r="K11" i="1"/>
  <c r="K3" i="1"/>
  <c r="K2" i="1"/>
  <c r="K1" i="1"/>
  <c r="K31" i="1"/>
  <c r="J31" i="1"/>
  <c r="J37" i="1"/>
  <c r="J38" i="1"/>
  <c r="K44" i="1"/>
  <c r="J44" i="1"/>
  <c r="K45" i="1"/>
  <c r="J45" i="1"/>
  <c r="K41" i="1"/>
  <c r="J41" i="1"/>
  <c r="J40" i="1"/>
  <c r="J19" i="1"/>
  <c r="K19" i="1"/>
  <c r="J11" i="1"/>
  <c r="J2" i="1" l="1"/>
  <c r="J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J32" i="1"/>
  <c r="K32" i="1"/>
  <c r="J33" i="1"/>
  <c r="K33" i="1"/>
  <c r="J34" i="1"/>
  <c r="K34" i="1"/>
  <c r="J35" i="1"/>
  <c r="K35" i="1"/>
  <c r="J36" i="1"/>
  <c r="K36" i="1"/>
  <c r="K37" i="1"/>
  <c r="K38" i="1"/>
  <c r="K39" i="1"/>
  <c r="J42" i="1"/>
  <c r="K42" i="1"/>
  <c r="J43" i="1"/>
  <c r="K43" i="1"/>
  <c r="J46" i="1"/>
  <c r="K46" i="1"/>
  <c r="J1" i="1"/>
  <c r="D46" i="1" l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<sst xmlns="http://schemas.openxmlformats.org/spreadsheetml/2006/main" count="9" uniqueCount="9">
  <si>
    <t>Box</t>
  </si>
  <si>
    <t>Depth</t>
  </si>
  <si>
    <t>Vol</t>
  </si>
  <si>
    <t>Area</t>
  </si>
  <si>
    <t>lat1</t>
  </si>
  <si>
    <t>lat2</t>
  </si>
  <si>
    <t>long1</t>
  </si>
  <si>
    <t>long2</t>
  </si>
  <si>
    <t>Nlevels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</si>
</sst>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J35" sqref="J35"/>
    </sheetView>
  </sheetViews>
  <sheetFormatPr defaultRowHeight="15" x14ac:dyDescent="0.25"/>
  <cols>
    <col min="1" max="1" width="4.28515625" bestFit="1" customWidth="1"/>
    <col min="2" max="2" width="9" bestFit="1" customWidth="1"/>
    <col min="3" max="4" width="8.5703125" bestFit="1" customWidth="1"/>
  </cols>
  <sheetData>
    <row r="1" spans="1:11" x14ac:dyDescent="0.25">
      <c r="A1">
        <v>4</v>
      </c>
      <c r="B1">
        <v>729.40309999999999</v>
      </c>
      <c r="C1" s="1">
        <v>9440728200000</v>
      </c>
      <c r="D1" s="1">
        <f t="shared" ref="D1:D46" si="0">C1/B1</f>
        <v>12943087573.935455</v>
      </c>
      <c r="E1">
        <v>41</v>
      </c>
      <c r="F1">
        <v>42</v>
      </c>
      <c r="G1">
        <v>27</v>
      </c>
      <c r="H1">
        <v>30</v>
      </c>
      <c r="I1">
        <v>4</v>
      </c>
      <c r="J1" s="4">
        <f>0.5*(E1+F1)</f>
        <v>41.5</v>
      </c>
      <c r="K1" s="3">
        <f>0.5*(28+H1)</f>
        <v>29</v>
      </c>
    </row>
    <row r="2" spans="1:11" x14ac:dyDescent="0.25">
      <c r="A2">
        <v>5</v>
      </c>
      <c r="B2">
        <v>1243.1510000000001</v>
      </c>
      <c r="C2" s="1">
        <v>20573086000000</v>
      </c>
      <c r="D2" s="1">
        <f t="shared" si="0"/>
        <v>16549144874.596889</v>
      </c>
      <c r="E2">
        <v>41</v>
      </c>
      <c r="F2">
        <v>42</v>
      </c>
      <c r="G2">
        <v>30</v>
      </c>
      <c r="H2">
        <v>33</v>
      </c>
      <c r="I2">
        <v>4</v>
      </c>
      <c r="J2" s="4">
        <f t="shared" ref="J2:J46" si="1">0.5*(E2+F2)</f>
        <v>41.5</v>
      </c>
      <c r="K2" s="3">
        <f>0.5*(G2+32.5)</f>
        <v>31.25</v>
      </c>
    </row>
    <row r="3" spans="1:11" x14ac:dyDescent="0.25">
      <c r="A3">
        <v>6</v>
      </c>
      <c r="B3">
        <v>539.80439999999999</v>
      </c>
      <c r="C3" s="1">
        <v>5970345900000</v>
      </c>
      <c r="D3" s="1">
        <f t="shared" si="0"/>
        <v>11060202362.188971</v>
      </c>
      <c r="E3">
        <v>42</v>
      </c>
      <c r="F3">
        <v>43</v>
      </c>
      <c r="G3">
        <v>27</v>
      </c>
      <c r="H3">
        <v>29</v>
      </c>
      <c r="I3">
        <v>3</v>
      </c>
      <c r="J3" s="2">
        <f t="shared" si="1"/>
        <v>42.5</v>
      </c>
      <c r="K3" s="3">
        <f>0.5*(27.8+H3)</f>
        <v>28.4</v>
      </c>
    </row>
    <row r="4" spans="1:11" x14ac:dyDescent="0.25">
      <c r="A4">
        <v>7</v>
      </c>
      <c r="B4">
        <v>1860.867</v>
      </c>
      <c r="C4" s="1">
        <v>16967711000000</v>
      </c>
      <c r="D4" s="1">
        <f t="shared" si="0"/>
        <v>9118175022.717905</v>
      </c>
      <c r="E4">
        <v>42</v>
      </c>
      <c r="F4">
        <v>43</v>
      </c>
      <c r="G4">
        <v>29</v>
      </c>
      <c r="H4">
        <v>30</v>
      </c>
      <c r="I4">
        <v>4</v>
      </c>
      <c r="J4">
        <f t="shared" si="1"/>
        <v>42.5</v>
      </c>
      <c r="K4">
        <f t="shared" ref="K4:K46" si="2">0.5*(G4+H4)</f>
        <v>29.5</v>
      </c>
    </row>
    <row r="5" spans="1:11" x14ac:dyDescent="0.25">
      <c r="A5">
        <v>8</v>
      </c>
      <c r="B5">
        <v>1862.25</v>
      </c>
      <c r="C5" s="1">
        <v>16980330000000</v>
      </c>
      <c r="D5" s="1">
        <f t="shared" si="0"/>
        <v>9118179621.4256954</v>
      </c>
      <c r="E5">
        <v>42</v>
      </c>
      <c r="F5">
        <v>43</v>
      </c>
      <c r="G5">
        <v>30</v>
      </c>
      <c r="H5">
        <v>31</v>
      </c>
      <c r="I5">
        <v>4</v>
      </c>
      <c r="J5">
        <f t="shared" si="1"/>
        <v>42.5</v>
      </c>
      <c r="K5">
        <f t="shared" si="2"/>
        <v>30.5</v>
      </c>
    </row>
    <row r="6" spans="1:11" x14ac:dyDescent="0.25">
      <c r="A6">
        <v>9</v>
      </c>
      <c r="B6">
        <v>1862.25</v>
      </c>
      <c r="C6" s="1">
        <v>16980330000000</v>
      </c>
      <c r="D6" s="1">
        <f t="shared" si="0"/>
        <v>9118179621.4256954</v>
      </c>
      <c r="E6">
        <v>42</v>
      </c>
      <c r="F6">
        <v>43</v>
      </c>
      <c r="G6">
        <v>31</v>
      </c>
      <c r="H6">
        <v>32</v>
      </c>
      <c r="I6">
        <v>4</v>
      </c>
      <c r="J6">
        <f t="shared" si="1"/>
        <v>42.5</v>
      </c>
      <c r="K6">
        <f t="shared" si="2"/>
        <v>31.5</v>
      </c>
    </row>
    <row r="7" spans="1:11" x14ac:dyDescent="0.25">
      <c r="A7">
        <v>10</v>
      </c>
      <c r="B7">
        <v>1852.5050000000001</v>
      </c>
      <c r="C7" s="1">
        <v>16891473000000</v>
      </c>
      <c r="D7" s="1">
        <f t="shared" si="0"/>
        <v>9118179438.1121769</v>
      </c>
      <c r="E7">
        <v>42</v>
      </c>
      <c r="F7">
        <v>43</v>
      </c>
      <c r="G7">
        <v>32</v>
      </c>
      <c r="H7">
        <v>33</v>
      </c>
      <c r="I7">
        <v>4</v>
      </c>
      <c r="J7">
        <f t="shared" si="1"/>
        <v>42.5</v>
      </c>
      <c r="K7">
        <f t="shared" si="2"/>
        <v>32.5</v>
      </c>
    </row>
    <row r="8" spans="1:11" x14ac:dyDescent="0.25">
      <c r="A8">
        <v>11</v>
      </c>
      <c r="B8">
        <v>1535.471</v>
      </c>
      <c r="C8" s="1">
        <v>14204078000000</v>
      </c>
      <c r="D8" s="1">
        <f t="shared" si="0"/>
        <v>9250632542.0668964</v>
      </c>
      <c r="E8">
        <v>41.5</v>
      </c>
      <c r="F8">
        <v>43</v>
      </c>
      <c r="G8">
        <v>33</v>
      </c>
      <c r="H8">
        <v>34</v>
      </c>
      <c r="I8">
        <v>4</v>
      </c>
      <c r="J8">
        <f t="shared" si="1"/>
        <v>42.25</v>
      </c>
      <c r="K8">
        <f t="shared" si="2"/>
        <v>33.5</v>
      </c>
    </row>
    <row r="9" spans="1:11" x14ac:dyDescent="0.25">
      <c r="A9">
        <v>12</v>
      </c>
      <c r="B9">
        <v>1339.816</v>
      </c>
      <c r="C9" s="1">
        <v>12584314000000</v>
      </c>
      <c r="D9" s="1">
        <f t="shared" si="0"/>
        <v>9392568830.3468533</v>
      </c>
      <c r="E9">
        <v>41.5</v>
      </c>
      <c r="F9">
        <v>43</v>
      </c>
      <c r="G9">
        <v>34</v>
      </c>
      <c r="H9">
        <v>35</v>
      </c>
      <c r="I9">
        <v>4</v>
      </c>
      <c r="J9">
        <f t="shared" si="1"/>
        <v>42.25</v>
      </c>
      <c r="K9">
        <f t="shared" si="2"/>
        <v>34.5</v>
      </c>
    </row>
    <row r="10" spans="1:11" x14ac:dyDescent="0.25">
      <c r="A10">
        <v>13</v>
      </c>
      <c r="B10">
        <v>1709.8389999999999</v>
      </c>
      <c r="C10" s="1">
        <v>15525968000000</v>
      </c>
      <c r="D10" s="1">
        <f t="shared" si="0"/>
        <v>9080368385.5614471</v>
      </c>
      <c r="E10">
        <v>42</v>
      </c>
      <c r="F10">
        <v>43</v>
      </c>
      <c r="G10">
        <v>35</v>
      </c>
      <c r="H10">
        <v>36</v>
      </c>
      <c r="I10">
        <v>4</v>
      </c>
      <c r="J10">
        <f t="shared" si="1"/>
        <v>42.5</v>
      </c>
      <c r="K10">
        <f t="shared" si="2"/>
        <v>35.5</v>
      </c>
    </row>
    <row r="11" spans="1:11" x14ac:dyDescent="0.25">
      <c r="A11">
        <v>14</v>
      </c>
      <c r="B11">
        <v>453.3417</v>
      </c>
      <c r="C11" s="1">
        <v>3853437900000</v>
      </c>
      <c r="D11" s="1">
        <f t="shared" si="0"/>
        <v>8500073785.4029312</v>
      </c>
      <c r="E11">
        <v>41</v>
      </c>
      <c r="F11">
        <v>42</v>
      </c>
      <c r="G11">
        <v>35</v>
      </c>
      <c r="H11">
        <v>37</v>
      </c>
      <c r="I11">
        <v>3</v>
      </c>
      <c r="J11" s="3">
        <f>(F11+F11+E11)/3</f>
        <v>41.666666666666664</v>
      </c>
      <c r="K11" s="3">
        <f>(H11+H11+G11)/3</f>
        <v>36.333333333333336</v>
      </c>
    </row>
    <row r="12" spans="1:11" x14ac:dyDescent="0.25">
      <c r="A12">
        <v>15</v>
      </c>
      <c r="B12">
        <v>1737.0170000000001</v>
      </c>
      <c r="C12" s="1">
        <v>15838428000000</v>
      </c>
      <c r="D12" s="1">
        <f t="shared" si="0"/>
        <v>9118176736.3243999</v>
      </c>
      <c r="E12">
        <v>42</v>
      </c>
      <c r="F12">
        <v>43</v>
      </c>
      <c r="G12">
        <v>36</v>
      </c>
      <c r="H12">
        <v>37</v>
      </c>
      <c r="I12">
        <v>4</v>
      </c>
      <c r="J12">
        <f t="shared" si="1"/>
        <v>42.5</v>
      </c>
      <c r="K12">
        <f t="shared" si="2"/>
        <v>36.5</v>
      </c>
    </row>
    <row r="13" spans="1:11" x14ac:dyDescent="0.25">
      <c r="A13">
        <v>16</v>
      </c>
      <c r="B13">
        <v>1862.25</v>
      </c>
      <c r="C13" s="1">
        <v>16980330000000</v>
      </c>
      <c r="D13" s="1">
        <f t="shared" si="0"/>
        <v>9118179621.4256954</v>
      </c>
      <c r="E13">
        <v>42</v>
      </c>
      <c r="F13">
        <v>43</v>
      </c>
      <c r="G13">
        <v>37</v>
      </c>
      <c r="H13">
        <v>38</v>
      </c>
      <c r="I13">
        <v>4</v>
      </c>
      <c r="J13">
        <f t="shared" si="1"/>
        <v>42.5</v>
      </c>
      <c r="K13">
        <f t="shared" si="2"/>
        <v>37.5</v>
      </c>
    </row>
    <row r="14" spans="1:11" x14ac:dyDescent="0.25">
      <c r="A14">
        <v>17</v>
      </c>
      <c r="B14">
        <v>1417.3330000000001</v>
      </c>
      <c r="C14" s="1">
        <v>25822077000000</v>
      </c>
      <c r="D14" s="1">
        <f t="shared" si="0"/>
        <v>18218779214.200191</v>
      </c>
      <c r="E14">
        <v>40.5</v>
      </c>
      <c r="F14">
        <v>42</v>
      </c>
      <c r="G14">
        <v>37</v>
      </c>
      <c r="H14">
        <v>39</v>
      </c>
      <c r="I14">
        <v>4</v>
      </c>
      <c r="J14" s="2">
        <f t="shared" si="1"/>
        <v>41.25</v>
      </c>
      <c r="K14" s="2">
        <f t="shared" si="2"/>
        <v>38</v>
      </c>
    </row>
    <row r="15" spans="1:11" x14ac:dyDescent="0.25">
      <c r="A15">
        <v>18</v>
      </c>
      <c r="B15">
        <v>1862.25</v>
      </c>
      <c r="C15" s="1">
        <v>16980330000000</v>
      </c>
      <c r="D15" s="1">
        <f t="shared" si="0"/>
        <v>9118179621.4256954</v>
      </c>
      <c r="E15">
        <v>42</v>
      </c>
      <c r="F15">
        <v>43</v>
      </c>
      <c r="G15">
        <v>38</v>
      </c>
      <c r="H15">
        <v>39</v>
      </c>
      <c r="I15">
        <v>4</v>
      </c>
      <c r="J15">
        <f t="shared" si="1"/>
        <v>42.5</v>
      </c>
      <c r="K15">
        <f t="shared" si="2"/>
        <v>38.5</v>
      </c>
    </row>
    <row r="16" spans="1:11" x14ac:dyDescent="0.25">
      <c r="A16">
        <v>19</v>
      </c>
      <c r="B16">
        <v>1847.857</v>
      </c>
      <c r="C16" s="1">
        <v>16849092000000</v>
      </c>
      <c r="D16" s="1">
        <f t="shared" si="0"/>
        <v>9118179599.3954086</v>
      </c>
      <c r="E16">
        <v>42</v>
      </c>
      <c r="F16">
        <v>43</v>
      </c>
      <c r="G16">
        <v>39</v>
      </c>
      <c r="H16">
        <v>40</v>
      </c>
      <c r="I16">
        <v>4</v>
      </c>
      <c r="J16">
        <f t="shared" si="1"/>
        <v>42.5</v>
      </c>
      <c r="K16">
        <f t="shared" si="2"/>
        <v>39.5</v>
      </c>
    </row>
    <row r="17" spans="1:11" x14ac:dyDescent="0.25">
      <c r="A17">
        <v>20</v>
      </c>
      <c r="B17">
        <v>1444.9380000000001</v>
      </c>
      <c r="C17" s="1">
        <v>31455961000000</v>
      </c>
      <c r="D17" s="1">
        <f t="shared" si="0"/>
        <v>21769765207.918953</v>
      </c>
      <c r="E17">
        <v>40.5</v>
      </c>
      <c r="F17">
        <v>42</v>
      </c>
      <c r="G17">
        <v>39</v>
      </c>
      <c r="H17">
        <v>42</v>
      </c>
      <c r="I17">
        <v>4</v>
      </c>
      <c r="J17" s="2">
        <f t="shared" si="1"/>
        <v>41.25</v>
      </c>
      <c r="K17" s="2">
        <f t="shared" si="2"/>
        <v>40.5</v>
      </c>
    </row>
    <row r="18" spans="1:11" x14ac:dyDescent="0.25">
      <c r="A18">
        <v>21</v>
      </c>
      <c r="B18">
        <v>1121.8389999999999</v>
      </c>
      <c r="C18" s="1">
        <v>14416688000000</v>
      </c>
      <c r="D18" s="1">
        <f t="shared" si="0"/>
        <v>12850942069.227404</v>
      </c>
      <c r="E18">
        <v>42</v>
      </c>
      <c r="F18">
        <v>43</v>
      </c>
      <c r="G18">
        <v>40</v>
      </c>
      <c r="H18">
        <v>42</v>
      </c>
      <c r="I18">
        <v>4</v>
      </c>
      <c r="J18" s="2">
        <f t="shared" si="1"/>
        <v>42.5</v>
      </c>
      <c r="K18" s="2">
        <f t="shared" si="2"/>
        <v>41</v>
      </c>
    </row>
    <row r="19" spans="1:11" x14ac:dyDescent="0.25">
      <c r="A19">
        <v>22</v>
      </c>
      <c r="B19">
        <v>1246.373</v>
      </c>
      <c r="C19" s="1">
        <v>8927451300000</v>
      </c>
      <c r="D19" s="1">
        <f t="shared" si="0"/>
        <v>7162744459.3231716</v>
      </c>
      <c r="E19">
        <v>43</v>
      </c>
      <c r="F19">
        <v>44.5</v>
      </c>
      <c r="G19">
        <v>39</v>
      </c>
      <c r="H19">
        <v>41</v>
      </c>
      <c r="I19">
        <v>4</v>
      </c>
      <c r="J19" s="3">
        <f>(E20+E20+44.2)/3</f>
        <v>43.4</v>
      </c>
      <c r="K19" s="3">
        <f>(G19+G19+H19)/3</f>
        <v>39.666666666666664</v>
      </c>
    </row>
    <row r="20" spans="1:11" x14ac:dyDescent="0.25">
      <c r="A20">
        <v>23</v>
      </c>
      <c r="B20">
        <v>1783.402</v>
      </c>
      <c r="C20" s="1">
        <v>15998713000000</v>
      </c>
      <c r="D20" s="1">
        <f t="shared" si="0"/>
        <v>8970895513.1821098</v>
      </c>
      <c r="E20">
        <v>43</v>
      </c>
      <c r="F20">
        <v>44</v>
      </c>
      <c r="G20">
        <v>38</v>
      </c>
      <c r="H20">
        <v>39</v>
      </c>
      <c r="I20">
        <v>4</v>
      </c>
      <c r="J20">
        <f t="shared" si="1"/>
        <v>43.5</v>
      </c>
      <c r="K20">
        <f t="shared" si="2"/>
        <v>38.5</v>
      </c>
    </row>
    <row r="21" spans="1:11" x14ac:dyDescent="0.25">
      <c r="A21">
        <v>24</v>
      </c>
      <c r="B21">
        <v>1862.251</v>
      </c>
      <c r="C21" s="1">
        <v>16706066000000</v>
      </c>
      <c r="D21" s="1">
        <f t="shared" si="0"/>
        <v>8970899196.7248249</v>
      </c>
      <c r="E21">
        <v>43</v>
      </c>
      <c r="F21">
        <v>44</v>
      </c>
      <c r="G21">
        <v>37</v>
      </c>
      <c r="H21">
        <v>38</v>
      </c>
      <c r="I21">
        <v>4</v>
      </c>
      <c r="J21">
        <f t="shared" si="1"/>
        <v>43.5</v>
      </c>
      <c r="K21">
        <f t="shared" si="2"/>
        <v>37.5</v>
      </c>
    </row>
    <row r="22" spans="1:11" x14ac:dyDescent="0.25">
      <c r="A22">
        <v>25</v>
      </c>
      <c r="B22">
        <v>1862.251</v>
      </c>
      <c r="C22" s="1">
        <v>16706066000000</v>
      </c>
      <c r="D22" s="1">
        <f t="shared" si="0"/>
        <v>8970899196.7248249</v>
      </c>
      <c r="E22">
        <v>43</v>
      </c>
      <c r="F22">
        <v>44</v>
      </c>
      <c r="G22">
        <v>36</v>
      </c>
      <c r="H22">
        <v>37</v>
      </c>
      <c r="I22">
        <v>4</v>
      </c>
      <c r="J22">
        <f t="shared" si="1"/>
        <v>43.5</v>
      </c>
      <c r="K22">
        <f t="shared" si="2"/>
        <v>36.5</v>
      </c>
    </row>
    <row r="23" spans="1:11" x14ac:dyDescent="0.25">
      <c r="A23">
        <v>26</v>
      </c>
      <c r="B23">
        <v>1862.251</v>
      </c>
      <c r="C23" s="1">
        <v>16706066000000</v>
      </c>
      <c r="D23" s="1">
        <f t="shared" si="0"/>
        <v>8970899196.7248249</v>
      </c>
      <c r="E23">
        <v>43</v>
      </c>
      <c r="F23">
        <v>44</v>
      </c>
      <c r="G23">
        <v>35</v>
      </c>
      <c r="H23">
        <v>36</v>
      </c>
      <c r="I23">
        <v>4</v>
      </c>
      <c r="J23">
        <f t="shared" si="1"/>
        <v>43.5</v>
      </c>
      <c r="K23">
        <f t="shared" si="2"/>
        <v>35.5</v>
      </c>
    </row>
    <row r="24" spans="1:11" x14ac:dyDescent="0.25">
      <c r="A24">
        <v>27</v>
      </c>
      <c r="B24">
        <v>1862.251</v>
      </c>
      <c r="C24" s="1">
        <v>16706066000000</v>
      </c>
      <c r="D24" s="1">
        <f t="shared" si="0"/>
        <v>8970899196.7248249</v>
      </c>
      <c r="E24">
        <v>43</v>
      </c>
      <c r="F24">
        <v>44</v>
      </c>
      <c r="G24">
        <v>34</v>
      </c>
      <c r="H24">
        <v>35</v>
      </c>
      <c r="I24">
        <v>4</v>
      </c>
      <c r="J24">
        <f t="shared" si="1"/>
        <v>43.5</v>
      </c>
      <c r="K24">
        <f t="shared" si="2"/>
        <v>34.5</v>
      </c>
    </row>
    <row r="25" spans="1:11" x14ac:dyDescent="0.25">
      <c r="A25">
        <v>28</v>
      </c>
      <c r="B25">
        <v>1861.434</v>
      </c>
      <c r="C25" s="1">
        <v>16698733000000</v>
      </c>
      <c r="D25" s="1">
        <f t="shared" si="0"/>
        <v>8970897168.5270596</v>
      </c>
      <c r="E25">
        <v>43</v>
      </c>
      <c r="F25">
        <v>44</v>
      </c>
      <c r="G25">
        <v>33</v>
      </c>
      <c r="H25">
        <v>34</v>
      </c>
      <c r="I25">
        <v>4</v>
      </c>
      <c r="J25">
        <f t="shared" si="1"/>
        <v>43.5</v>
      </c>
      <c r="K25">
        <f t="shared" si="2"/>
        <v>33.5</v>
      </c>
    </row>
    <row r="26" spans="1:11" x14ac:dyDescent="0.25">
      <c r="A26">
        <v>29</v>
      </c>
      <c r="B26">
        <v>1843.4269999999999</v>
      </c>
      <c r="C26" s="1">
        <v>16537199000000</v>
      </c>
      <c r="D26" s="1">
        <f t="shared" si="0"/>
        <v>8970899851.2010517</v>
      </c>
      <c r="E26">
        <v>43</v>
      </c>
      <c r="F26">
        <v>44</v>
      </c>
      <c r="G26">
        <v>32</v>
      </c>
      <c r="H26">
        <v>33</v>
      </c>
      <c r="I26">
        <v>4</v>
      </c>
      <c r="J26">
        <f t="shared" si="1"/>
        <v>43.5</v>
      </c>
      <c r="K26">
        <f t="shared" si="2"/>
        <v>32.5</v>
      </c>
    </row>
    <row r="27" spans="1:11" x14ac:dyDescent="0.25">
      <c r="A27">
        <v>30</v>
      </c>
      <c r="B27">
        <v>1683.64</v>
      </c>
      <c r="C27" s="1">
        <v>15103761000000</v>
      </c>
      <c r="D27" s="1">
        <f t="shared" si="0"/>
        <v>8970896985.1037025</v>
      </c>
      <c r="E27">
        <v>43</v>
      </c>
      <c r="F27">
        <v>44</v>
      </c>
      <c r="G27">
        <v>31</v>
      </c>
      <c r="H27">
        <v>32</v>
      </c>
      <c r="I27">
        <v>4</v>
      </c>
      <c r="J27">
        <f t="shared" si="1"/>
        <v>43.5</v>
      </c>
      <c r="K27">
        <f t="shared" si="2"/>
        <v>31.5</v>
      </c>
    </row>
    <row r="28" spans="1:11" x14ac:dyDescent="0.25">
      <c r="A28">
        <v>31</v>
      </c>
      <c r="B28">
        <v>1172.192</v>
      </c>
      <c r="C28" s="1">
        <v>10515615000000</v>
      </c>
      <c r="D28" s="1">
        <f t="shared" si="0"/>
        <v>8970898112.2546482</v>
      </c>
      <c r="E28">
        <v>43</v>
      </c>
      <c r="F28">
        <v>44</v>
      </c>
      <c r="G28">
        <v>30</v>
      </c>
      <c r="H28">
        <v>31</v>
      </c>
      <c r="I28">
        <v>4</v>
      </c>
      <c r="J28">
        <f t="shared" si="1"/>
        <v>43.5</v>
      </c>
      <c r="K28">
        <f t="shared" si="2"/>
        <v>30.5</v>
      </c>
    </row>
    <row r="29" spans="1:11" x14ac:dyDescent="0.25">
      <c r="A29">
        <v>32</v>
      </c>
      <c r="B29">
        <v>657.51919999999996</v>
      </c>
      <c r="C29" s="1">
        <v>5898537300000</v>
      </c>
      <c r="D29" s="1">
        <f t="shared" si="0"/>
        <v>8970897427.7861404</v>
      </c>
      <c r="E29">
        <v>43</v>
      </c>
      <c r="F29">
        <v>44</v>
      </c>
      <c r="G29">
        <v>29</v>
      </c>
      <c r="H29">
        <v>30</v>
      </c>
      <c r="I29">
        <v>4</v>
      </c>
      <c r="J29">
        <f t="shared" si="1"/>
        <v>43.5</v>
      </c>
      <c r="K29">
        <f t="shared" si="2"/>
        <v>29.5</v>
      </c>
    </row>
    <row r="30" spans="1:11" x14ac:dyDescent="0.25">
      <c r="A30">
        <v>33</v>
      </c>
      <c r="B30">
        <v>124.2465</v>
      </c>
      <c r="C30" s="1">
        <v>716920390000</v>
      </c>
      <c r="D30" s="1">
        <f t="shared" si="0"/>
        <v>5770145557.4201288</v>
      </c>
      <c r="E30">
        <v>43</v>
      </c>
      <c r="F30">
        <v>44</v>
      </c>
      <c r="G30">
        <v>27.5</v>
      </c>
      <c r="H30">
        <v>29</v>
      </c>
      <c r="I30">
        <v>2</v>
      </c>
      <c r="J30" s="3">
        <f t="shared" si="1"/>
        <v>43.5</v>
      </c>
      <c r="K30" s="3">
        <f>0.5*(28+H30)</f>
        <v>28.5</v>
      </c>
    </row>
    <row r="31" spans="1:11" x14ac:dyDescent="0.25">
      <c r="A31">
        <v>34</v>
      </c>
      <c r="B31">
        <v>24.531790000000001</v>
      </c>
      <c r="C31" s="1">
        <v>38677049000</v>
      </c>
      <c r="D31" s="1">
        <f t="shared" si="0"/>
        <v>1576609330.1793306</v>
      </c>
      <c r="E31">
        <v>44</v>
      </c>
      <c r="F31">
        <v>45</v>
      </c>
      <c r="G31">
        <v>28</v>
      </c>
      <c r="H31">
        <v>29</v>
      </c>
      <c r="I31">
        <v>1</v>
      </c>
      <c r="J31" s="3">
        <f>0.5*(E31+44.7)</f>
        <v>44.35</v>
      </c>
      <c r="K31" s="3">
        <f>0.5*(28.6+H31)</f>
        <v>28.8</v>
      </c>
    </row>
    <row r="32" spans="1:11" x14ac:dyDescent="0.25">
      <c r="A32">
        <v>35</v>
      </c>
      <c r="B32">
        <v>45.570999999999998</v>
      </c>
      <c r="C32" s="1">
        <v>349806820000</v>
      </c>
      <c r="D32" s="1">
        <f t="shared" si="0"/>
        <v>7676083913.0148563</v>
      </c>
      <c r="E32">
        <v>44</v>
      </c>
      <c r="F32">
        <v>45</v>
      </c>
      <c r="G32">
        <v>29</v>
      </c>
      <c r="H32">
        <v>30</v>
      </c>
      <c r="I32">
        <v>2</v>
      </c>
      <c r="J32">
        <f t="shared" si="1"/>
        <v>44.5</v>
      </c>
      <c r="K32">
        <f t="shared" si="2"/>
        <v>29.5</v>
      </c>
    </row>
    <row r="33" spans="1:11" x14ac:dyDescent="0.25">
      <c r="A33">
        <v>36</v>
      </c>
      <c r="B33">
        <v>98.826719999999995</v>
      </c>
      <c r="C33" s="1">
        <v>871739160000</v>
      </c>
      <c r="D33" s="1">
        <f t="shared" si="0"/>
        <v>8820885282.8465824</v>
      </c>
      <c r="E33">
        <v>44</v>
      </c>
      <c r="F33">
        <v>45</v>
      </c>
      <c r="G33">
        <v>30</v>
      </c>
      <c r="H33">
        <v>31</v>
      </c>
      <c r="I33">
        <v>2</v>
      </c>
      <c r="J33">
        <f t="shared" si="1"/>
        <v>44.5</v>
      </c>
      <c r="K33">
        <f t="shared" si="2"/>
        <v>30.5</v>
      </c>
    </row>
    <row r="34" spans="1:11" x14ac:dyDescent="0.25">
      <c r="A34">
        <v>37</v>
      </c>
      <c r="B34">
        <v>612.57669999999996</v>
      </c>
      <c r="C34" s="1">
        <v>5403468400000</v>
      </c>
      <c r="D34" s="1">
        <f t="shared" si="0"/>
        <v>8820884633.7119904</v>
      </c>
      <c r="E34">
        <v>44</v>
      </c>
      <c r="F34">
        <v>45</v>
      </c>
      <c r="G34">
        <v>31</v>
      </c>
      <c r="H34">
        <v>32</v>
      </c>
      <c r="I34">
        <v>3</v>
      </c>
      <c r="J34">
        <f t="shared" si="1"/>
        <v>44.5</v>
      </c>
      <c r="K34">
        <f t="shared" si="2"/>
        <v>31.5</v>
      </c>
    </row>
    <row r="35" spans="1:11" x14ac:dyDescent="0.25">
      <c r="A35">
        <v>38</v>
      </c>
      <c r="B35">
        <v>963.18619999999999</v>
      </c>
      <c r="C35" s="1">
        <v>8496154700000</v>
      </c>
      <c r="D35" s="1">
        <f t="shared" si="0"/>
        <v>8820884996.0682583</v>
      </c>
      <c r="E35">
        <v>44</v>
      </c>
      <c r="F35">
        <v>45</v>
      </c>
      <c r="G35">
        <v>32</v>
      </c>
      <c r="H35">
        <v>33</v>
      </c>
      <c r="I35">
        <v>4</v>
      </c>
      <c r="J35">
        <f t="shared" si="1"/>
        <v>44.5</v>
      </c>
      <c r="K35">
        <f t="shared" si="2"/>
        <v>32.5</v>
      </c>
    </row>
    <row r="36" spans="1:11" x14ac:dyDescent="0.25">
      <c r="A36">
        <v>39</v>
      </c>
      <c r="B36">
        <v>595.44799999999998</v>
      </c>
      <c r="C36" s="1">
        <v>3673968100000</v>
      </c>
      <c r="D36" s="1">
        <f t="shared" si="0"/>
        <v>6170090587.2553101</v>
      </c>
      <c r="E36">
        <v>44</v>
      </c>
      <c r="F36">
        <v>45</v>
      </c>
      <c r="G36">
        <v>33</v>
      </c>
      <c r="H36">
        <v>34</v>
      </c>
      <c r="I36">
        <v>3</v>
      </c>
      <c r="J36" s="2">
        <f t="shared" si="1"/>
        <v>44.5</v>
      </c>
      <c r="K36" s="2">
        <f t="shared" si="2"/>
        <v>33.5</v>
      </c>
    </row>
    <row r="37" spans="1:11" x14ac:dyDescent="0.25">
      <c r="A37">
        <v>40</v>
      </c>
      <c r="B37">
        <v>1316.2159999999999</v>
      </c>
      <c r="C37" s="1">
        <v>7486169400000</v>
      </c>
      <c r="D37" s="1">
        <f t="shared" si="0"/>
        <v>5687645036.9848118</v>
      </c>
      <c r="E37">
        <v>44</v>
      </c>
      <c r="F37">
        <v>45</v>
      </c>
      <c r="G37">
        <v>34</v>
      </c>
      <c r="H37">
        <v>35</v>
      </c>
      <c r="I37">
        <v>4</v>
      </c>
      <c r="J37" s="2">
        <f>0.5*(E37+44.5)</f>
        <v>44.25</v>
      </c>
      <c r="K37" s="2">
        <f t="shared" si="2"/>
        <v>34.5</v>
      </c>
    </row>
    <row r="38" spans="1:11" x14ac:dyDescent="0.25">
      <c r="A38">
        <v>41</v>
      </c>
      <c r="B38">
        <v>1122.463</v>
      </c>
      <c r="C38" s="1">
        <v>9667982900000</v>
      </c>
      <c r="D38" s="1">
        <f t="shared" si="0"/>
        <v>8613186269.8369579</v>
      </c>
      <c r="E38">
        <v>44</v>
      </c>
      <c r="F38">
        <v>45.5</v>
      </c>
      <c r="G38">
        <v>35</v>
      </c>
      <c r="H38">
        <v>36</v>
      </c>
      <c r="I38">
        <v>4</v>
      </c>
      <c r="J38" s="2">
        <f>0.5*(E38+45)</f>
        <v>44.5</v>
      </c>
      <c r="K38" s="2">
        <f t="shared" si="2"/>
        <v>35.5</v>
      </c>
    </row>
    <row r="39" spans="1:11" x14ac:dyDescent="0.25">
      <c r="A39">
        <v>42</v>
      </c>
      <c r="B39">
        <v>858.16250000000002</v>
      </c>
      <c r="C39" s="1">
        <v>7978700200000</v>
      </c>
      <c r="D39" s="1">
        <f t="shared" si="0"/>
        <v>9297423506.6202488</v>
      </c>
      <c r="E39">
        <v>44</v>
      </c>
      <c r="F39">
        <v>45.5</v>
      </c>
      <c r="G39">
        <v>36</v>
      </c>
      <c r="H39">
        <v>37</v>
      </c>
      <c r="I39">
        <v>4</v>
      </c>
      <c r="J39" s="2">
        <f>0.5*(E39+45)</f>
        <v>44.5</v>
      </c>
      <c r="K39" s="2">
        <f t="shared" si="2"/>
        <v>36.5</v>
      </c>
    </row>
    <row r="40" spans="1:11" x14ac:dyDescent="0.25">
      <c r="A40">
        <v>43</v>
      </c>
      <c r="B40">
        <v>1256.7850000000001</v>
      </c>
      <c r="C40" s="1">
        <v>11302164000000</v>
      </c>
      <c r="D40" s="1">
        <f t="shared" si="0"/>
        <v>8992917643.0336132</v>
      </c>
      <c r="E40">
        <v>44</v>
      </c>
      <c r="F40">
        <v>45.5</v>
      </c>
      <c r="G40">
        <v>37</v>
      </c>
      <c r="H40">
        <v>39</v>
      </c>
      <c r="I40">
        <v>4</v>
      </c>
      <c r="J40" s="3">
        <f>(E40+E40+45)/3</f>
        <v>44.333333333333336</v>
      </c>
      <c r="K40" s="3">
        <f>(G40+G40+H40)/3</f>
        <v>37.666666666666664</v>
      </c>
    </row>
    <row r="41" spans="1:11" x14ac:dyDescent="0.25">
      <c r="A41">
        <v>44</v>
      </c>
      <c r="B41">
        <v>18.430499999999999</v>
      </c>
      <c r="C41" s="1">
        <v>33625504000</v>
      </c>
      <c r="D41" s="1">
        <f t="shared" si="0"/>
        <v>1824448821.2473891</v>
      </c>
      <c r="E41">
        <v>45</v>
      </c>
      <c r="F41">
        <v>46</v>
      </c>
      <c r="G41">
        <v>29</v>
      </c>
      <c r="H41">
        <v>30</v>
      </c>
      <c r="I41">
        <v>1</v>
      </c>
      <c r="J41" s="3">
        <f>0.5*(E41+45.7)</f>
        <v>45.35</v>
      </c>
      <c r="K41" s="3">
        <f>0.5*(29.6+H41)</f>
        <v>29.8</v>
      </c>
    </row>
    <row r="42" spans="1:11" x14ac:dyDescent="0.25">
      <c r="A42">
        <v>45</v>
      </c>
      <c r="B42">
        <v>24.983730000000001</v>
      </c>
      <c r="C42" s="1">
        <v>220521580000</v>
      </c>
      <c r="D42" s="1">
        <f t="shared" si="0"/>
        <v>8826607556.1975727</v>
      </c>
      <c r="E42">
        <v>45</v>
      </c>
      <c r="F42">
        <v>46</v>
      </c>
      <c r="G42">
        <v>30</v>
      </c>
      <c r="H42">
        <v>31</v>
      </c>
      <c r="I42">
        <v>1</v>
      </c>
      <c r="J42">
        <f t="shared" si="1"/>
        <v>45.5</v>
      </c>
      <c r="K42">
        <f t="shared" si="2"/>
        <v>30.5</v>
      </c>
    </row>
    <row r="43" spans="1:11" x14ac:dyDescent="0.25">
      <c r="A43">
        <v>46</v>
      </c>
      <c r="B43">
        <v>40.627859999999998</v>
      </c>
      <c r="C43" s="1">
        <v>352170340000</v>
      </c>
      <c r="D43" s="1">
        <f t="shared" si="0"/>
        <v>8668198128.082552</v>
      </c>
      <c r="E43">
        <v>45</v>
      </c>
      <c r="F43">
        <v>46</v>
      </c>
      <c r="G43">
        <v>31</v>
      </c>
      <c r="H43">
        <v>32</v>
      </c>
      <c r="I43">
        <v>2</v>
      </c>
      <c r="J43">
        <f t="shared" si="1"/>
        <v>45.5</v>
      </c>
      <c r="K43">
        <f t="shared" si="2"/>
        <v>31.5</v>
      </c>
    </row>
    <row r="44" spans="1:11" x14ac:dyDescent="0.25">
      <c r="A44">
        <v>47</v>
      </c>
      <c r="B44">
        <v>33.42069</v>
      </c>
      <c r="C44" s="1">
        <v>363087200000</v>
      </c>
      <c r="D44" s="1">
        <f t="shared" si="0"/>
        <v>10864144336.936192</v>
      </c>
      <c r="E44">
        <v>45</v>
      </c>
      <c r="F44">
        <v>46.5</v>
      </c>
      <c r="G44">
        <v>32</v>
      </c>
      <c r="H44">
        <v>34</v>
      </c>
      <c r="I44">
        <v>2</v>
      </c>
      <c r="J44" s="3">
        <f>0.5*(E44+46.2)</f>
        <v>45.6</v>
      </c>
      <c r="K44" s="3">
        <f>0.5*(G44+33)</f>
        <v>32.5</v>
      </c>
    </row>
    <row r="45" spans="1:11" x14ac:dyDescent="0.25">
      <c r="A45">
        <v>48</v>
      </c>
      <c r="B45">
        <v>16.42475</v>
      </c>
      <c r="C45" s="1">
        <v>86864241000</v>
      </c>
      <c r="D45" s="1">
        <f t="shared" si="0"/>
        <v>5288618761.3205681</v>
      </c>
      <c r="E45">
        <v>46</v>
      </c>
      <c r="F45">
        <v>47</v>
      </c>
      <c r="G45">
        <v>30</v>
      </c>
      <c r="H45">
        <v>32</v>
      </c>
      <c r="I45">
        <v>1</v>
      </c>
      <c r="J45" s="3">
        <f>0.5*(E45+46.5)</f>
        <v>46.25</v>
      </c>
      <c r="K45" s="3">
        <f>0.5*(30.4+H45)</f>
        <v>31.2</v>
      </c>
    </row>
    <row r="46" spans="1:11" x14ac:dyDescent="0.25">
      <c r="A46">
        <v>50</v>
      </c>
      <c r="B46">
        <v>7.5</v>
      </c>
      <c r="C46" s="1">
        <v>256000000000</v>
      </c>
      <c r="D46" s="1">
        <f t="shared" si="0"/>
        <v>34133333333.333332</v>
      </c>
      <c r="E46">
        <v>45.216999999999999</v>
      </c>
      <c r="F46">
        <v>47.283000000000001</v>
      </c>
      <c r="G46">
        <v>34.75</v>
      </c>
      <c r="H46">
        <v>39.317</v>
      </c>
      <c r="I46">
        <v>1</v>
      </c>
      <c r="J46">
        <f t="shared" si="1"/>
        <v>46.25</v>
      </c>
      <c r="K46">
        <f t="shared" si="2"/>
        <v>37.033500000000004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I2" sqref="I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header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2025-06-30T09:48:50Z</dcterms:created>
  <dcterms:modified xsi:type="dcterms:W3CDTF">2025-10-23T20:59:54Z</dcterms:modified>
</cp:coreProperties>
</file>