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k\WORK\2024_NFD\DAwork\01.DArun\1986.5\"/>
    </mc:Choice>
  </mc:AlternateContent>
  <bookViews>
    <workbookView xWindow="0" yWindow="0" windowWidth="28800" windowHeight="14565" activeTab="2"/>
  </bookViews>
  <sheets>
    <sheet name="Лист1" sheetId="1" r:id="rId1"/>
    <sheet name="obs" sheetId="2" r:id="rId2"/>
    <sheet name="01.hydrol1dep1" sheetId="3" r:id="rId3"/>
    <sheet name="02.hydrol1dep2" sheetId="4" r:id="rId4"/>
    <sheet name="03.hydrol1dep3" sheetId="5" r:id="rId5"/>
    <sheet name="04.hydrol1dep4" sheetId="6" r:id="rId6"/>
    <sheet name="05.hydrol2dep1" sheetId="7" r:id="rId7"/>
    <sheet name="06.hydrol2dep2" sheetId="8" r:id="rId8"/>
    <sheet name="07.hydrol2dep3" sheetId="9" r:id="rId9"/>
    <sheet name="08.hydrol2dep4" sheetId="10" r:id="rId10"/>
    <sheet name="Ens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3" l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1" i="3"/>
  <c r="J1" i="3"/>
  <c r="H1" i="3" l="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C1" i="11" s="1"/>
  <c r="E1" i="11"/>
  <c r="D1" i="11"/>
  <c r="B1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1" i="11"/>
  <c r="E1" i="10" l="1"/>
  <c r="E1" i="9"/>
  <c r="E1" i="8"/>
  <c r="E1" i="7"/>
  <c r="E1" i="6"/>
  <c r="E1" i="5"/>
  <c r="E1" i="4"/>
  <c r="E1" i="3"/>
  <c r="C1" i="2"/>
  <c r="D1" i="10" l="1"/>
  <c r="D1" i="9"/>
  <c r="D1" i="8"/>
  <c r="D1" i="7"/>
  <c r="D1" i="6"/>
  <c r="D1" i="5"/>
  <c r="D1" i="4"/>
  <c r="D1" i="3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1" i="10"/>
  <c r="C1" i="10" s="1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1" i="9"/>
  <c r="C1" i="9" s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1" i="8"/>
  <c r="C1" i="8" s="1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" i="7"/>
  <c r="C1" i="7" s="1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1" i="6"/>
  <c r="C1" i="6" s="1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C1" i="5" s="1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C1" i="4" s="1"/>
  <c r="B3" i="4"/>
  <c r="B2" i="4"/>
  <c r="B1" i="4"/>
  <c r="C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1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C1" sqref="C1"/>
    </sheetView>
  </sheetViews>
  <sheetFormatPr defaultRowHeight="15" x14ac:dyDescent="0.25"/>
  <sheetData>
    <row r="1" spans="1:3" x14ac:dyDescent="0.25">
      <c r="A1">
        <v>48.099998474121094</v>
      </c>
      <c r="B1">
        <v>4</v>
      </c>
      <c r="C1">
        <f>AVERAGE(A1:A27)</f>
        <v>151.69999980926514</v>
      </c>
    </row>
    <row r="2" spans="1:3" x14ac:dyDescent="0.25">
      <c r="A2">
        <v>49.950000762939453</v>
      </c>
      <c r="B2">
        <v>5</v>
      </c>
    </row>
    <row r="3" spans="1:3" x14ac:dyDescent="0.25">
      <c r="A3">
        <v>42.549999237060547</v>
      </c>
      <c r="B3">
        <v>7</v>
      </c>
    </row>
    <row r="4" spans="1:3" x14ac:dyDescent="0.25">
      <c r="A4">
        <v>37</v>
      </c>
      <c r="B4">
        <v>8</v>
      </c>
    </row>
    <row r="5" spans="1:3" x14ac:dyDescent="0.25">
      <c r="A5">
        <v>40.700000762939453</v>
      </c>
      <c r="B5">
        <v>9</v>
      </c>
    </row>
    <row r="6" spans="1:3" x14ac:dyDescent="0.25">
      <c r="A6">
        <v>33.299999237060547</v>
      </c>
      <c r="B6">
        <v>11</v>
      </c>
    </row>
    <row r="7" spans="1:3" x14ac:dyDescent="0.25">
      <c r="A7">
        <v>188.69999694824219</v>
      </c>
      <c r="B7">
        <v>19</v>
      </c>
    </row>
    <row r="8" spans="1:3" x14ac:dyDescent="0.25">
      <c r="A8">
        <v>153.55000305175781</v>
      </c>
      <c r="B8">
        <v>20</v>
      </c>
    </row>
    <row r="9" spans="1:3" x14ac:dyDescent="0.25">
      <c r="A9">
        <v>185</v>
      </c>
      <c r="B9">
        <v>21</v>
      </c>
    </row>
    <row r="10" spans="1:3" x14ac:dyDescent="0.25">
      <c r="A10">
        <v>418.10000610351562</v>
      </c>
      <c r="B10">
        <v>22</v>
      </c>
    </row>
    <row r="11" spans="1:3" x14ac:dyDescent="0.25">
      <c r="A11">
        <v>251.60000610351562</v>
      </c>
      <c r="B11">
        <v>23</v>
      </c>
    </row>
    <row r="12" spans="1:3" x14ac:dyDescent="0.25">
      <c r="A12">
        <v>170.19999694824219</v>
      </c>
      <c r="B12">
        <v>24</v>
      </c>
    </row>
    <row r="13" spans="1:3" x14ac:dyDescent="0.25">
      <c r="A13">
        <v>210.89999389648437</v>
      </c>
      <c r="B13">
        <v>26</v>
      </c>
    </row>
    <row r="14" spans="1:3" x14ac:dyDescent="0.25">
      <c r="A14">
        <v>44.400001525878906</v>
      </c>
      <c r="B14">
        <v>28</v>
      </c>
    </row>
    <row r="15" spans="1:3" x14ac:dyDescent="0.25">
      <c r="A15">
        <v>370</v>
      </c>
      <c r="B15">
        <v>30</v>
      </c>
    </row>
    <row r="16" spans="1:3" x14ac:dyDescent="0.25">
      <c r="A16">
        <v>14.800000190734863</v>
      </c>
      <c r="B16">
        <v>31</v>
      </c>
    </row>
    <row r="17" spans="1:2" x14ac:dyDescent="0.25">
      <c r="A17">
        <v>51.799999237060547</v>
      </c>
      <c r="B17">
        <v>35</v>
      </c>
    </row>
    <row r="18" spans="1:2" x14ac:dyDescent="0.25">
      <c r="A18">
        <v>96.199996948242187</v>
      </c>
      <c r="B18">
        <v>36</v>
      </c>
    </row>
    <row r="19" spans="1:2" x14ac:dyDescent="0.25">
      <c r="A19">
        <v>403.29998779296875</v>
      </c>
      <c r="B19">
        <v>39</v>
      </c>
    </row>
    <row r="20" spans="1:2" x14ac:dyDescent="0.25">
      <c r="A20">
        <v>214.60000610351562</v>
      </c>
      <c r="B20">
        <v>40</v>
      </c>
    </row>
    <row r="21" spans="1:2" x14ac:dyDescent="0.25">
      <c r="A21">
        <v>469.89999389648438</v>
      </c>
      <c r="B21">
        <v>42</v>
      </c>
    </row>
    <row r="22" spans="1:2" x14ac:dyDescent="0.25">
      <c r="A22">
        <v>288.60000610351562</v>
      </c>
      <c r="B22">
        <v>43</v>
      </c>
    </row>
    <row r="23" spans="1:2" x14ac:dyDescent="0.25">
      <c r="A23">
        <v>81.400001525878906</v>
      </c>
      <c r="B23">
        <v>44</v>
      </c>
    </row>
    <row r="24" spans="1:2" x14ac:dyDescent="0.25">
      <c r="A24">
        <v>55.5</v>
      </c>
      <c r="B24">
        <v>45</v>
      </c>
    </row>
    <row r="25" spans="1:2" x14ac:dyDescent="0.25">
      <c r="A25">
        <v>37</v>
      </c>
      <c r="B25">
        <v>46</v>
      </c>
    </row>
    <row r="26" spans="1:2" x14ac:dyDescent="0.25">
      <c r="A26">
        <v>70.300003051757813</v>
      </c>
      <c r="B26">
        <v>47</v>
      </c>
    </row>
    <row r="27" spans="1:2" x14ac:dyDescent="0.25">
      <c r="A27">
        <v>68.449996948242187</v>
      </c>
      <c r="B27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J1" sqref="J1"/>
    </sheetView>
  </sheetViews>
  <sheetFormatPr defaultRowHeight="15" x14ac:dyDescent="0.25"/>
  <cols>
    <col min="1" max="1" width="9.140625" style="1"/>
  </cols>
  <sheetData>
    <row r="1" spans="1:10" x14ac:dyDescent="0.25">
      <c r="A1" s="1">
        <v>245.9</v>
      </c>
      <c r="B1">
        <f>ABS(A1-obs!A1)</f>
        <v>197.80000152587891</v>
      </c>
      <c r="C1">
        <f>AVERAGE(B:B)</f>
        <v>153.08888885356762</v>
      </c>
      <c r="D1">
        <f>CORREL(A1:A27,obs!A1:A27)</f>
        <v>-0.23432694866439069</v>
      </c>
      <c r="E1">
        <f>AVERAGE(A1:A27)</f>
        <v>227.03703703703704</v>
      </c>
      <c r="F1">
        <v>65.701843863192323</v>
      </c>
      <c r="G1">
        <f>ABS(F1-obs!A1)</f>
        <v>17.601845389071229</v>
      </c>
      <c r="H1">
        <f>AVERAGE(G:G)</f>
        <v>41.25621478734115</v>
      </c>
      <c r="I1">
        <f>CORREL(F1:F27,obs!A1:A27)</f>
        <v>0.87096948917083372</v>
      </c>
      <c r="J1">
        <f>AVERAGE(F1:F27)</f>
        <v>128.22395691114863</v>
      </c>
    </row>
    <row r="2" spans="1:10" x14ac:dyDescent="0.25">
      <c r="A2" s="1">
        <v>217.3</v>
      </c>
      <c r="B2">
        <f>ABS(A2-obs!A2)</f>
        <v>167.34999923706056</v>
      </c>
      <c r="F2">
        <v>73.612945255950706</v>
      </c>
      <c r="G2">
        <f>ABS(F2-obs!A2)</f>
        <v>23.662944493011253</v>
      </c>
    </row>
    <row r="3" spans="1:10" x14ac:dyDescent="0.25">
      <c r="A3" s="1">
        <v>270.89999999999998</v>
      </c>
      <c r="B3">
        <f>ABS(A3-obs!A3)</f>
        <v>228.35000076293943</v>
      </c>
      <c r="F3">
        <v>55.6353630306063</v>
      </c>
      <c r="G3">
        <f>ABS(F3-obs!A3)</f>
        <v>13.085363793545753</v>
      </c>
    </row>
    <row r="4" spans="1:10" x14ac:dyDescent="0.25">
      <c r="A4" s="1">
        <v>255.8</v>
      </c>
      <c r="B4">
        <f>ABS(A4-obs!A4)</f>
        <v>218.8</v>
      </c>
      <c r="F4">
        <v>47.748033445564637</v>
      </c>
      <c r="G4">
        <f>ABS(F4-obs!A4)</f>
        <v>10.748033445564637</v>
      </c>
    </row>
    <row r="5" spans="1:10" x14ac:dyDescent="0.25">
      <c r="A5" s="1">
        <v>244</v>
      </c>
      <c r="B5">
        <f>ABS(A5-obs!A5)</f>
        <v>203.29999923706055</v>
      </c>
      <c r="F5">
        <v>54.479968811773389</v>
      </c>
      <c r="G5">
        <f>ABS(F5-obs!A5)</f>
        <v>13.779968048833936</v>
      </c>
    </row>
    <row r="6" spans="1:10" x14ac:dyDescent="0.25">
      <c r="A6" s="1">
        <v>241.2</v>
      </c>
      <c r="B6">
        <f>ABS(A6-obs!A6)</f>
        <v>207.90000076293944</v>
      </c>
      <c r="F6">
        <v>42.110943983030694</v>
      </c>
      <c r="G6">
        <f>ABS(F6-obs!A6)</f>
        <v>8.8109447459701471</v>
      </c>
    </row>
    <row r="7" spans="1:10" x14ac:dyDescent="0.25">
      <c r="A7" s="1">
        <v>134.4</v>
      </c>
      <c r="B7">
        <f>ABS(A7-obs!A7)</f>
        <v>54.299996948242182</v>
      </c>
      <c r="F7">
        <v>153.73169296338327</v>
      </c>
      <c r="G7">
        <f>ABS(F7-obs!A7)</f>
        <v>34.96830398485892</v>
      </c>
    </row>
    <row r="8" spans="1:10" x14ac:dyDescent="0.25">
      <c r="A8" s="1">
        <v>131.80000000000001</v>
      </c>
      <c r="B8">
        <f>ABS(A8-obs!A8)</f>
        <v>21.750003051757801</v>
      </c>
      <c r="F8">
        <v>142.49691725043925</v>
      </c>
      <c r="G8">
        <f>ABS(F8-obs!A8)</f>
        <v>11.053085801318559</v>
      </c>
    </row>
    <row r="9" spans="1:10" x14ac:dyDescent="0.25">
      <c r="A9" s="1">
        <v>132.69999999999999</v>
      </c>
      <c r="B9">
        <f>ABS(A9-obs!A9)</f>
        <v>52.300000000000011</v>
      </c>
      <c r="F9">
        <v>151.26819544880101</v>
      </c>
      <c r="G9">
        <f>ABS(F9-obs!A9)</f>
        <v>33.731804551198991</v>
      </c>
    </row>
    <row r="10" spans="1:10" x14ac:dyDescent="0.25">
      <c r="A10" s="1">
        <v>139.30000000000001</v>
      </c>
      <c r="B10">
        <f>ABS(A10-obs!A10)</f>
        <v>278.80000610351561</v>
      </c>
      <c r="F10">
        <v>164.90699947025664</v>
      </c>
      <c r="G10">
        <f>ABS(F10-obs!A10)</f>
        <v>253.19300663325899</v>
      </c>
    </row>
    <row r="11" spans="1:10" x14ac:dyDescent="0.25">
      <c r="A11" s="1">
        <v>148.19999999999999</v>
      </c>
      <c r="B11">
        <f>ABS(A11-obs!A11)</f>
        <v>103.40000610351564</v>
      </c>
      <c r="F11">
        <v>169.58347210819994</v>
      </c>
      <c r="G11">
        <f>ABS(F11-obs!A11)</f>
        <v>82.016533995315683</v>
      </c>
    </row>
    <row r="12" spans="1:10" x14ac:dyDescent="0.25">
      <c r="A12" s="1">
        <v>161</v>
      </c>
      <c r="B12">
        <f>ABS(A12-obs!A12)</f>
        <v>9.1999969482421875</v>
      </c>
      <c r="F12">
        <v>164.25381113592627</v>
      </c>
      <c r="G12">
        <f>ABS(F12-obs!A12)</f>
        <v>5.9461858123159175</v>
      </c>
    </row>
    <row r="13" spans="1:10" x14ac:dyDescent="0.25">
      <c r="A13" s="1">
        <v>221.6</v>
      </c>
      <c r="B13">
        <f>ABS(A13-obs!A13)</f>
        <v>10.700006103515619</v>
      </c>
      <c r="F13">
        <v>217.85478169659774</v>
      </c>
      <c r="G13">
        <f>ABS(F13-obs!A13)</f>
        <v>6.9547878001133654</v>
      </c>
    </row>
    <row r="14" spans="1:10" x14ac:dyDescent="0.25">
      <c r="A14" s="1">
        <v>284.7</v>
      </c>
      <c r="B14">
        <f>ABS(A14-obs!A14)</f>
        <v>240.29999847412108</v>
      </c>
      <c r="F14">
        <v>56.284393983739399</v>
      </c>
      <c r="G14">
        <f>ABS(F14-obs!A14)</f>
        <v>11.884392457860493</v>
      </c>
    </row>
    <row r="15" spans="1:10" x14ac:dyDescent="0.25">
      <c r="A15" s="1">
        <v>325.3</v>
      </c>
      <c r="B15">
        <f>ABS(A15-obs!A15)</f>
        <v>44.699999999999989</v>
      </c>
      <c r="F15">
        <v>337.43727474368615</v>
      </c>
      <c r="G15">
        <f>ABS(F15-obs!A15)</f>
        <v>32.562725256313854</v>
      </c>
    </row>
    <row r="16" spans="1:10" x14ac:dyDescent="0.25">
      <c r="A16" s="1">
        <v>327.9</v>
      </c>
      <c r="B16">
        <f>ABS(A16-obs!A16)</f>
        <v>313.09999980926511</v>
      </c>
      <c r="F16">
        <v>16.160637179301677</v>
      </c>
      <c r="G16">
        <f>ABS(F16-obs!A16)</f>
        <v>1.3606369885668137</v>
      </c>
    </row>
    <row r="17" spans="1:7" x14ac:dyDescent="0.25">
      <c r="A17" s="1">
        <v>277.2</v>
      </c>
      <c r="B17">
        <f>ABS(A17-obs!A17)</f>
        <v>225.40000076293944</v>
      </c>
      <c r="F17">
        <v>65.130138024403422</v>
      </c>
      <c r="G17">
        <f>ABS(F17-obs!A17)</f>
        <v>13.330138787342875</v>
      </c>
    </row>
    <row r="18" spans="1:7" x14ac:dyDescent="0.25">
      <c r="A18" s="1">
        <v>339.9</v>
      </c>
      <c r="B18">
        <f>ABS(A18-obs!A18)</f>
        <v>243.70000305175779</v>
      </c>
      <c r="F18">
        <v>131.09972126996951</v>
      </c>
      <c r="G18">
        <f>ABS(F18-obs!A18)</f>
        <v>34.899724321727319</v>
      </c>
    </row>
    <row r="19" spans="1:7" x14ac:dyDescent="0.25">
      <c r="A19" s="1">
        <v>310.39999999999998</v>
      </c>
      <c r="B19">
        <f>ABS(A19-obs!A19)</f>
        <v>92.899987792968773</v>
      </c>
      <c r="F19">
        <v>333.55721468501036</v>
      </c>
      <c r="G19">
        <f>ABS(F19-obs!A19)</f>
        <v>69.742773107958385</v>
      </c>
    </row>
    <row r="20" spans="1:7" x14ac:dyDescent="0.25">
      <c r="A20" s="1">
        <v>260.3</v>
      </c>
      <c r="B20">
        <f>ABS(A20-obs!A20)</f>
        <v>45.699993896484386</v>
      </c>
      <c r="F20">
        <v>240.20830694921517</v>
      </c>
      <c r="G20">
        <f>ABS(F20-obs!A20)</f>
        <v>25.608300845699546</v>
      </c>
    </row>
    <row r="21" spans="1:7" x14ac:dyDescent="0.25">
      <c r="A21" s="1">
        <v>196.5</v>
      </c>
      <c r="B21">
        <f>ABS(A21-obs!A21)</f>
        <v>273.39999389648437</v>
      </c>
      <c r="F21">
        <v>218.14036756992436</v>
      </c>
      <c r="G21">
        <f>ABS(F21-obs!A21)</f>
        <v>251.75962632656001</v>
      </c>
    </row>
    <row r="22" spans="1:7" x14ac:dyDescent="0.25">
      <c r="A22" s="1">
        <v>169.7</v>
      </c>
      <c r="B22">
        <f>ABS(A22-obs!A22)</f>
        <v>118.90000610351564</v>
      </c>
      <c r="F22">
        <v>189.68857281893645</v>
      </c>
      <c r="G22">
        <f>ABS(F22-obs!A22)</f>
        <v>98.911433284579175</v>
      </c>
    </row>
    <row r="23" spans="1:7" x14ac:dyDescent="0.25">
      <c r="A23" s="1">
        <v>160.30000000000001</v>
      </c>
      <c r="B23">
        <f>ABS(A23-obs!A23)</f>
        <v>78.899998474121105</v>
      </c>
      <c r="F23">
        <v>90.71439684364654</v>
      </c>
      <c r="G23">
        <f>ABS(F23-obs!A23)</f>
        <v>9.3143953177676337</v>
      </c>
    </row>
    <row r="24" spans="1:7" x14ac:dyDescent="0.25">
      <c r="A24" s="1">
        <v>174.2</v>
      </c>
      <c r="B24">
        <f>ABS(A24-obs!A24)</f>
        <v>118.69999999999999</v>
      </c>
      <c r="F24">
        <v>62.10583243048233</v>
      </c>
      <c r="G24">
        <f>ABS(F24-obs!A24)</f>
        <v>6.6058324304823302</v>
      </c>
    </row>
    <row r="25" spans="1:7" x14ac:dyDescent="0.25">
      <c r="A25" s="1">
        <v>250.1</v>
      </c>
      <c r="B25">
        <f>ABS(A25-obs!A25)</f>
        <v>213.1</v>
      </c>
      <c r="F25">
        <v>42.787140562672988</v>
      </c>
      <c r="G25">
        <f>ABS(F25-obs!A25)</f>
        <v>5.7871405626729882</v>
      </c>
    </row>
    <row r="26" spans="1:7" x14ac:dyDescent="0.25">
      <c r="A26" s="1">
        <v>283.8</v>
      </c>
      <c r="B26">
        <f>ABS(A26-obs!A26)</f>
        <v>213.4999969482422</v>
      </c>
      <c r="F26">
        <v>87.968694055734204</v>
      </c>
      <c r="G26">
        <f>ABS(F26-obs!A26)</f>
        <v>17.668691003976392</v>
      </c>
    </row>
    <row r="27" spans="1:7" x14ac:dyDescent="0.25">
      <c r="A27" s="1">
        <v>225.6</v>
      </c>
      <c r="B27">
        <f>ABS(A27-obs!A27)</f>
        <v>157.15000305175781</v>
      </c>
      <c r="F27">
        <v>87.379177020568406</v>
      </c>
      <c r="G27">
        <f>ABS(F27-obs!A27)</f>
        <v>18.929180072326218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182.4</v>
      </c>
      <c r="B1">
        <f>ABS(A1-obs!A1)</f>
        <v>134.30000152587891</v>
      </c>
      <c r="C1">
        <f>AVERAGE(B:B)</f>
        <v>120.09370389443856</v>
      </c>
      <c r="D1">
        <f>CORREL(A1:A27,obs!A1:A27)</f>
        <v>-0.16467767069349765</v>
      </c>
      <c r="E1">
        <f>AVERAGE(A1:A27)</f>
        <v>173.67518518518523</v>
      </c>
    </row>
    <row r="2" spans="1:5" x14ac:dyDescent="0.25">
      <c r="A2">
        <v>207.2</v>
      </c>
      <c r="B2">
        <f>ABS(A2-obs!A2)</f>
        <v>157.24999923706054</v>
      </c>
    </row>
    <row r="3" spans="1:5" x14ac:dyDescent="0.25">
      <c r="A3">
        <v>204.3</v>
      </c>
      <c r="B3">
        <f>ABS(A3-obs!A3)</f>
        <v>161.75000076293946</v>
      </c>
    </row>
    <row r="4" spans="1:5" x14ac:dyDescent="0.25">
      <c r="A4">
        <v>226.6</v>
      </c>
      <c r="B4">
        <f>ABS(A4-obs!A4)</f>
        <v>189.6</v>
      </c>
    </row>
    <row r="5" spans="1:5" x14ac:dyDescent="0.25">
      <c r="A5">
        <v>237.8</v>
      </c>
      <c r="B5">
        <f>ABS(A5-obs!A5)</f>
        <v>197.09999923706056</v>
      </c>
    </row>
    <row r="6" spans="1:5" x14ac:dyDescent="0.25">
      <c r="A6">
        <v>280.10000000000002</v>
      </c>
      <c r="B6">
        <f>ABS(A6-obs!A6)</f>
        <v>246.80000076293948</v>
      </c>
    </row>
    <row r="7" spans="1:5" x14ac:dyDescent="0.25">
      <c r="A7">
        <v>166</v>
      </c>
      <c r="B7">
        <f>ABS(A7-obs!A7)</f>
        <v>22.699996948242188</v>
      </c>
    </row>
    <row r="8" spans="1:5" x14ac:dyDescent="0.25">
      <c r="A8">
        <v>171.2</v>
      </c>
      <c r="B8">
        <f>ABS(A8-obs!A8)</f>
        <v>17.649996948242176</v>
      </c>
    </row>
    <row r="9" spans="1:5" x14ac:dyDescent="0.25">
      <c r="A9">
        <v>164.6</v>
      </c>
      <c r="B9">
        <f>ABS(A9-obs!A9)</f>
        <v>20.400000000000006</v>
      </c>
    </row>
    <row r="10" spans="1:5" x14ac:dyDescent="0.25">
      <c r="A10">
        <v>156.1</v>
      </c>
      <c r="B10">
        <f>ABS(A10-obs!A10)</f>
        <v>262.0000061035156</v>
      </c>
    </row>
    <row r="11" spans="1:5" x14ac:dyDescent="0.25">
      <c r="A11">
        <v>155.5</v>
      </c>
      <c r="B11">
        <f>ABS(A11-obs!A11)</f>
        <v>96.100006103515625</v>
      </c>
    </row>
    <row r="12" spans="1:5" x14ac:dyDescent="0.25">
      <c r="A12">
        <v>165.4</v>
      </c>
      <c r="B12">
        <f>ABS(A12-obs!A12)</f>
        <v>4.7999969482421818</v>
      </c>
    </row>
    <row r="13" spans="1:5" x14ac:dyDescent="0.25">
      <c r="A13">
        <v>218.2</v>
      </c>
      <c r="B13">
        <f>ABS(A13-obs!A13)</f>
        <v>7.3000061035156136</v>
      </c>
    </row>
    <row r="14" spans="1:5" x14ac:dyDescent="0.25">
      <c r="A14">
        <v>235.8</v>
      </c>
      <c r="B14">
        <f>ABS(A14-obs!A14)</f>
        <v>191.39999847412111</v>
      </c>
    </row>
    <row r="15" spans="1:5" x14ac:dyDescent="0.25">
      <c r="A15">
        <v>224.3</v>
      </c>
      <c r="B15">
        <f>ABS(A15-obs!A15)</f>
        <v>145.69999999999999</v>
      </c>
    </row>
    <row r="16" spans="1:5" x14ac:dyDescent="0.25">
      <c r="A16">
        <v>213.9</v>
      </c>
      <c r="B16">
        <f>ABS(A16-obs!A16)</f>
        <v>199.09999980926514</v>
      </c>
    </row>
    <row r="17" spans="1:2" x14ac:dyDescent="0.25">
      <c r="A17">
        <v>167.6</v>
      </c>
      <c r="B17">
        <f>ABS(A17-obs!A17)</f>
        <v>115.80000076293945</v>
      </c>
    </row>
    <row r="18" spans="1:2" x14ac:dyDescent="0.25">
      <c r="A18">
        <v>187.5</v>
      </c>
      <c r="B18">
        <f>ABS(A18-obs!A18)</f>
        <v>91.300003051757813</v>
      </c>
    </row>
    <row r="19" spans="1:2" x14ac:dyDescent="0.25">
      <c r="A19">
        <v>162.30000000000001</v>
      </c>
      <c r="B19">
        <f>ABS(A19-obs!A19)</f>
        <v>240.99998779296874</v>
      </c>
    </row>
    <row r="20" spans="1:2" x14ac:dyDescent="0.25">
      <c r="A20">
        <v>163.9</v>
      </c>
      <c r="B20">
        <f>ABS(A20-obs!A20)</f>
        <v>50.700006103515619</v>
      </c>
    </row>
    <row r="21" spans="1:2" x14ac:dyDescent="0.25">
      <c r="A21">
        <v>137.6</v>
      </c>
      <c r="B21">
        <f>ABS(A21-obs!A21)</f>
        <v>332.29999389648435</v>
      </c>
    </row>
    <row r="22" spans="1:2" x14ac:dyDescent="0.25">
      <c r="A22">
        <v>139.69999999999999</v>
      </c>
      <c r="B22">
        <f>ABS(A22-obs!A22)</f>
        <v>148.90000610351564</v>
      </c>
    </row>
    <row r="23" spans="1:2" x14ac:dyDescent="0.25">
      <c r="A23">
        <v>96.01</v>
      </c>
      <c r="B23">
        <f>ABS(A23-obs!A23)</f>
        <v>14.609998474121099</v>
      </c>
    </row>
    <row r="24" spans="1:2" x14ac:dyDescent="0.25">
      <c r="A24">
        <v>99.02</v>
      </c>
      <c r="B24">
        <f>ABS(A24-obs!A24)</f>
        <v>43.519999999999996</v>
      </c>
    </row>
    <row r="25" spans="1:2" x14ac:dyDescent="0.25">
      <c r="A25">
        <v>98.16</v>
      </c>
      <c r="B25">
        <f>ABS(A25-obs!A25)</f>
        <v>61.16</v>
      </c>
    </row>
    <row r="26" spans="1:2" x14ac:dyDescent="0.25">
      <c r="A26">
        <v>89.74</v>
      </c>
      <c r="B26">
        <f>ABS(A26-obs!A26)</f>
        <v>19.439996948242182</v>
      </c>
    </row>
    <row r="27" spans="1:2" x14ac:dyDescent="0.25">
      <c r="A27">
        <v>138.30000000000001</v>
      </c>
      <c r="B27">
        <f>ABS(A27-obs!A27)</f>
        <v>69.850003051757824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230.7</v>
      </c>
      <c r="B1">
        <f>ABS(A1-obs!A1)</f>
        <v>182.60000152587889</v>
      </c>
      <c r="C1">
        <f>AVERAGE(B:B)</f>
        <v>173.6525925572713</v>
      </c>
      <c r="D1">
        <f>CORREL(A1:A27,obs!A1:A27)</f>
        <v>-0.69003041263195752</v>
      </c>
      <c r="E1">
        <f>AVERAGE(A1:A27)</f>
        <v>168.54</v>
      </c>
    </row>
    <row r="2" spans="1:5" x14ac:dyDescent="0.25">
      <c r="A2">
        <v>218.7</v>
      </c>
      <c r="B2">
        <f>ABS(A2-obs!A2)</f>
        <v>168.74999923706054</v>
      </c>
    </row>
    <row r="3" spans="1:5" x14ac:dyDescent="0.25">
      <c r="A3">
        <v>245.3</v>
      </c>
      <c r="B3">
        <f>ABS(A3-obs!A3)</f>
        <v>202.75000076293946</v>
      </c>
    </row>
    <row r="4" spans="1:5" x14ac:dyDescent="0.25">
      <c r="A4">
        <v>231.5</v>
      </c>
      <c r="B4">
        <f>ABS(A4-obs!A4)</f>
        <v>194.5</v>
      </c>
    </row>
    <row r="5" spans="1:5" x14ac:dyDescent="0.25">
      <c r="A5">
        <v>218.8</v>
      </c>
      <c r="B5">
        <f>ABS(A5-obs!A5)</f>
        <v>178.09999923706056</v>
      </c>
    </row>
    <row r="6" spans="1:5" x14ac:dyDescent="0.25">
      <c r="A6">
        <v>205</v>
      </c>
      <c r="B6">
        <f>ABS(A6-obs!A6)</f>
        <v>171.70000076293945</v>
      </c>
    </row>
    <row r="7" spans="1:5" x14ac:dyDescent="0.25">
      <c r="A7">
        <v>80.63</v>
      </c>
      <c r="B7">
        <f>ABS(A7-obs!A7)</f>
        <v>108.06999694824219</v>
      </c>
    </row>
    <row r="8" spans="1:5" x14ac:dyDescent="0.25">
      <c r="A8">
        <v>84.39</v>
      </c>
      <c r="B8">
        <f>ABS(A8-obs!A8)</f>
        <v>69.160003051757812</v>
      </c>
    </row>
    <row r="9" spans="1:5" x14ac:dyDescent="0.25">
      <c r="A9">
        <v>78.5</v>
      </c>
      <c r="B9">
        <f>ABS(A9-obs!A9)</f>
        <v>106.5</v>
      </c>
    </row>
    <row r="10" spans="1:5" x14ac:dyDescent="0.25">
      <c r="A10">
        <v>75.55</v>
      </c>
      <c r="B10">
        <f>ABS(A10-obs!A10)</f>
        <v>342.55000610351561</v>
      </c>
    </row>
    <row r="11" spans="1:5" x14ac:dyDescent="0.25">
      <c r="A11">
        <v>79.16</v>
      </c>
      <c r="B11">
        <f>ABS(A11-obs!A11)</f>
        <v>172.44000610351563</v>
      </c>
    </row>
    <row r="12" spans="1:5" x14ac:dyDescent="0.25">
      <c r="A12">
        <v>88.85</v>
      </c>
      <c r="B12">
        <f>ABS(A12-obs!A12)</f>
        <v>81.349996948242193</v>
      </c>
    </row>
    <row r="13" spans="1:5" x14ac:dyDescent="0.25">
      <c r="A13">
        <v>127.9</v>
      </c>
      <c r="B13">
        <f>ABS(A13-obs!A13)</f>
        <v>82.999993896484369</v>
      </c>
    </row>
    <row r="14" spans="1:5" x14ac:dyDescent="0.25">
      <c r="A14">
        <v>159.30000000000001</v>
      </c>
      <c r="B14">
        <f>ABS(A14-obs!A14)</f>
        <v>114.89999847412111</v>
      </c>
    </row>
    <row r="15" spans="1:5" x14ac:dyDescent="0.25">
      <c r="A15">
        <v>197.8</v>
      </c>
      <c r="B15">
        <f>ABS(A15-obs!A15)</f>
        <v>172.2</v>
      </c>
    </row>
    <row r="16" spans="1:5" x14ac:dyDescent="0.25">
      <c r="A16">
        <v>230</v>
      </c>
      <c r="B16">
        <f>ABS(A16-obs!A16)</f>
        <v>215.19999980926514</v>
      </c>
    </row>
    <row r="17" spans="1:2" x14ac:dyDescent="0.25">
      <c r="A17">
        <v>309.39999999999998</v>
      </c>
      <c r="B17">
        <f>ABS(A17-obs!A17)</f>
        <v>257.60000076293943</v>
      </c>
    </row>
    <row r="18" spans="1:2" x14ac:dyDescent="0.25">
      <c r="A18">
        <v>238.5</v>
      </c>
      <c r="B18">
        <f>ABS(A18-obs!A18)</f>
        <v>142.30000305175781</v>
      </c>
    </row>
    <row r="19" spans="1:2" x14ac:dyDescent="0.25">
      <c r="A19">
        <v>129.6</v>
      </c>
      <c r="B19">
        <f>ABS(A19-obs!A19)</f>
        <v>273.69998779296873</v>
      </c>
    </row>
    <row r="20" spans="1:2" x14ac:dyDescent="0.25">
      <c r="A20">
        <v>106.4</v>
      </c>
      <c r="B20">
        <f>ABS(A20-obs!A20)</f>
        <v>108.20000610351562</v>
      </c>
    </row>
    <row r="21" spans="1:2" x14ac:dyDescent="0.25">
      <c r="A21">
        <v>83.22</v>
      </c>
      <c r="B21">
        <f>ABS(A21-obs!A21)</f>
        <v>386.67999389648435</v>
      </c>
    </row>
    <row r="22" spans="1:2" x14ac:dyDescent="0.25">
      <c r="A22">
        <v>75.48</v>
      </c>
      <c r="B22">
        <f>ABS(A22-obs!A22)</f>
        <v>213.12000610351561</v>
      </c>
    </row>
    <row r="23" spans="1:2" x14ac:dyDescent="0.25">
      <c r="A23">
        <v>218.8</v>
      </c>
      <c r="B23">
        <f>ABS(A23-obs!A23)</f>
        <v>137.39999847412111</v>
      </c>
    </row>
    <row r="24" spans="1:2" x14ac:dyDescent="0.25">
      <c r="A24">
        <v>231.7</v>
      </c>
      <c r="B24">
        <f>ABS(A24-obs!A24)</f>
        <v>176.2</v>
      </c>
    </row>
    <row r="25" spans="1:2" x14ac:dyDescent="0.25">
      <c r="A25">
        <v>193.9</v>
      </c>
      <c r="B25">
        <f>ABS(A25-obs!A25)</f>
        <v>156.9</v>
      </c>
    </row>
    <row r="26" spans="1:2" x14ac:dyDescent="0.25">
      <c r="A26">
        <v>175.2</v>
      </c>
      <c r="B26">
        <f>ABS(A26-obs!A26)</f>
        <v>104.89999694824218</v>
      </c>
    </row>
    <row r="27" spans="1:2" x14ac:dyDescent="0.25">
      <c r="A27">
        <v>236.3</v>
      </c>
      <c r="B27">
        <f>ABS(A27-obs!A27)</f>
        <v>167.85000305175782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169.3</v>
      </c>
      <c r="B1">
        <f>ABS(A1-obs!A1)</f>
        <v>121.20000152587892</v>
      </c>
      <c r="C1">
        <f>AVERAGE(B:B)</f>
        <v>134.81925922393796</v>
      </c>
      <c r="D1">
        <f>CORREL(A1:A27,obs!A1:A27)</f>
        <v>-0.69817766114691304</v>
      </c>
      <c r="E1">
        <f>AVERAGE(A1:A27)</f>
        <v>137.25481481481481</v>
      </c>
    </row>
    <row r="2" spans="1:5" x14ac:dyDescent="0.25">
      <c r="A2">
        <v>160.69999999999999</v>
      </c>
      <c r="B2">
        <f>ABS(A2-obs!A2)</f>
        <v>110.74999923706054</v>
      </c>
    </row>
    <row r="3" spans="1:5" x14ac:dyDescent="0.25">
      <c r="A3">
        <v>169.8</v>
      </c>
      <c r="B3">
        <f>ABS(A3-obs!A3)</f>
        <v>127.25000076293946</v>
      </c>
    </row>
    <row r="4" spans="1:5" x14ac:dyDescent="0.25">
      <c r="A4">
        <v>157.80000000000001</v>
      </c>
      <c r="B4">
        <f>ABS(A4-obs!A4)</f>
        <v>120.80000000000001</v>
      </c>
    </row>
    <row r="5" spans="1:5" x14ac:dyDescent="0.25">
      <c r="A5">
        <v>152.19999999999999</v>
      </c>
      <c r="B5">
        <f>ABS(A5-obs!A5)</f>
        <v>111.49999923706054</v>
      </c>
    </row>
    <row r="6" spans="1:5" x14ac:dyDescent="0.25">
      <c r="A6">
        <v>148.9</v>
      </c>
      <c r="B6">
        <f>ABS(A6-obs!A6)</f>
        <v>115.60000076293946</v>
      </c>
    </row>
    <row r="7" spans="1:5" x14ac:dyDescent="0.25">
      <c r="A7">
        <v>105.4</v>
      </c>
      <c r="B7">
        <f>ABS(A7-obs!A7)</f>
        <v>83.299996948242182</v>
      </c>
    </row>
    <row r="8" spans="1:5" x14ac:dyDescent="0.25">
      <c r="A8">
        <v>108</v>
      </c>
      <c r="B8">
        <f>ABS(A8-obs!A8)</f>
        <v>45.550003051757813</v>
      </c>
    </row>
    <row r="9" spans="1:5" x14ac:dyDescent="0.25">
      <c r="A9">
        <v>105.4</v>
      </c>
      <c r="B9">
        <f>ABS(A9-obs!A9)</f>
        <v>79.599999999999994</v>
      </c>
    </row>
    <row r="10" spans="1:5" x14ac:dyDescent="0.25">
      <c r="A10">
        <v>100.8</v>
      </c>
      <c r="B10">
        <f>ABS(A10-obs!A10)</f>
        <v>317.30000610351561</v>
      </c>
    </row>
    <row r="11" spans="1:5" x14ac:dyDescent="0.25">
      <c r="A11">
        <v>99.17</v>
      </c>
      <c r="B11">
        <f>ABS(A11-obs!A11)</f>
        <v>152.43000610351561</v>
      </c>
    </row>
    <row r="12" spans="1:5" x14ac:dyDescent="0.25">
      <c r="A12">
        <v>103.2</v>
      </c>
      <c r="B12">
        <f>ABS(A12-obs!A12)</f>
        <v>66.999996948242185</v>
      </c>
    </row>
    <row r="13" spans="1:5" x14ac:dyDescent="0.25">
      <c r="A13">
        <v>126.3</v>
      </c>
      <c r="B13">
        <f>ABS(A13-obs!A13)</f>
        <v>84.599993896484378</v>
      </c>
    </row>
    <row r="14" spans="1:5" x14ac:dyDescent="0.25">
      <c r="A14">
        <v>134.69999999999999</v>
      </c>
      <c r="B14">
        <f>ABS(A14-obs!A14)</f>
        <v>90.299998474121082</v>
      </c>
    </row>
    <row r="15" spans="1:5" x14ac:dyDescent="0.25">
      <c r="A15">
        <v>140.80000000000001</v>
      </c>
      <c r="B15">
        <f>ABS(A15-obs!A15)</f>
        <v>229.2</v>
      </c>
    </row>
    <row r="16" spans="1:5" x14ac:dyDescent="0.25">
      <c r="A16">
        <v>151.6</v>
      </c>
      <c r="B16">
        <f>ABS(A16-obs!A16)</f>
        <v>136.79999980926513</v>
      </c>
    </row>
    <row r="17" spans="1:2" x14ac:dyDescent="0.25">
      <c r="A17">
        <v>206.7</v>
      </c>
      <c r="B17">
        <f>ABS(A17-obs!A17)</f>
        <v>154.90000076293944</v>
      </c>
    </row>
    <row r="18" spans="1:2" x14ac:dyDescent="0.25">
      <c r="A18">
        <v>155.4</v>
      </c>
      <c r="B18">
        <f>ABS(A18-obs!A18)</f>
        <v>59.200003051757818</v>
      </c>
    </row>
    <row r="19" spans="1:2" x14ac:dyDescent="0.25">
      <c r="A19">
        <v>121.5</v>
      </c>
      <c r="B19">
        <f>ABS(A19-obs!A19)</f>
        <v>281.79998779296875</v>
      </c>
    </row>
    <row r="20" spans="1:2" x14ac:dyDescent="0.25">
      <c r="A20">
        <v>109.3</v>
      </c>
      <c r="B20">
        <f>ABS(A20-obs!A20)</f>
        <v>105.30000610351563</v>
      </c>
    </row>
    <row r="21" spans="1:2" x14ac:dyDescent="0.25">
      <c r="A21">
        <v>98</v>
      </c>
      <c r="B21">
        <f>ABS(A21-obs!A21)</f>
        <v>371.89999389648437</v>
      </c>
    </row>
    <row r="22" spans="1:2" x14ac:dyDescent="0.25">
      <c r="A22">
        <v>91.51</v>
      </c>
      <c r="B22">
        <f>ABS(A22-obs!A22)</f>
        <v>197.09000610351563</v>
      </c>
    </row>
    <row r="23" spans="1:2" x14ac:dyDescent="0.25">
      <c r="A23">
        <v>143.1</v>
      </c>
      <c r="B23">
        <f>ABS(A23-obs!A23)</f>
        <v>61.699998474121088</v>
      </c>
    </row>
    <row r="24" spans="1:2" x14ac:dyDescent="0.25">
      <c r="A24">
        <v>150.19999999999999</v>
      </c>
      <c r="B24">
        <f>ABS(A24-obs!A24)</f>
        <v>94.699999999999989</v>
      </c>
    </row>
    <row r="25" spans="1:2" x14ac:dyDescent="0.25">
      <c r="A25">
        <v>147.4</v>
      </c>
      <c r="B25">
        <f>ABS(A25-obs!A25)</f>
        <v>110.4</v>
      </c>
    </row>
    <row r="26" spans="1:2" x14ac:dyDescent="0.25">
      <c r="A26">
        <v>173</v>
      </c>
      <c r="B26">
        <f>ABS(A26-obs!A26)</f>
        <v>102.69999694824219</v>
      </c>
    </row>
    <row r="27" spans="1:2" x14ac:dyDescent="0.25">
      <c r="A27">
        <v>175.7</v>
      </c>
      <c r="B27">
        <f>ABS(A27-obs!A27)</f>
        <v>107.2500030517578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300.7</v>
      </c>
      <c r="B1">
        <f>ABS(A1-obs!A1)</f>
        <v>252.60000152587889</v>
      </c>
      <c r="C1">
        <f>AVERAGE(B:B)</f>
        <v>178.95925922393801</v>
      </c>
      <c r="D1">
        <f>CORREL(A1:A27,obs!A1:A27)</f>
        <v>-0.62323855411317919</v>
      </c>
      <c r="E1">
        <f>AVERAGE(A1:A27)</f>
        <v>235.78888888888889</v>
      </c>
    </row>
    <row r="2" spans="1:5" x14ac:dyDescent="0.25">
      <c r="A2">
        <v>276</v>
      </c>
      <c r="B2">
        <f>ABS(A2-obs!A2)</f>
        <v>226.04999923706055</v>
      </c>
    </row>
    <row r="3" spans="1:5" x14ac:dyDescent="0.25">
      <c r="A3">
        <v>312.7</v>
      </c>
      <c r="B3">
        <f>ABS(A3-obs!A3)</f>
        <v>270.15000076293944</v>
      </c>
    </row>
    <row r="4" spans="1:5" x14ac:dyDescent="0.25">
      <c r="A4">
        <v>299.2</v>
      </c>
      <c r="B4">
        <f>ABS(A4-obs!A4)</f>
        <v>262.2</v>
      </c>
    </row>
    <row r="5" spans="1:5" x14ac:dyDescent="0.25">
      <c r="A5">
        <v>282.8</v>
      </c>
      <c r="B5">
        <f>ABS(A5-obs!A5)</f>
        <v>242.09999923706056</v>
      </c>
    </row>
    <row r="6" spans="1:5" x14ac:dyDescent="0.25">
      <c r="A6">
        <v>259.60000000000002</v>
      </c>
      <c r="B6">
        <f>ABS(A6-obs!A6)</f>
        <v>226.30000076293948</v>
      </c>
    </row>
    <row r="7" spans="1:5" x14ac:dyDescent="0.25">
      <c r="A7">
        <v>136.69999999999999</v>
      </c>
      <c r="B7">
        <f>ABS(A7-obs!A7)</f>
        <v>51.999996948242199</v>
      </c>
    </row>
    <row r="8" spans="1:5" x14ac:dyDescent="0.25">
      <c r="A8">
        <v>141.19999999999999</v>
      </c>
      <c r="B8">
        <f>ABS(A8-obs!A8)</f>
        <v>12.350003051757824</v>
      </c>
    </row>
    <row r="9" spans="1:5" x14ac:dyDescent="0.25">
      <c r="A9">
        <v>134.69999999999999</v>
      </c>
      <c r="B9">
        <f>ABS(A9-obs!A9)</f>
        <v>50.300000000000011</v>
      </c>
    </row>
    <row r="10" spans="1:5" x14ac:dyDescent="0.25">
      <c r="A10">
        <v>134</v>
      </c>
      <c r="B10">
        <f>ABS(A10-obs!A10)</f>
        <v>284.10000610351562</v>
      </c>
    </row>
    <row r="11" spans="1:5" x14ac:dyDescent="0.25">
      <c r="A11">
        <v>136.6</v>
      </c>
      <c r="B11">
        <f>ABS(A11-obs!A11)</f>
        <v>115.00000610351563</v>
      </c>
    </row>
    <row r="12" spans="1:5" x14ac:dyDescent="0.25">
      <c r="A12">
        <v>144.69999999999999</v>
      </c>
      <c r="B12">
        <f>ABS(A12-obs!A12)</f>
        <v>25.499996948242199</v>
      </c>
    </row>
    <row r="13" spans="1:5" x14ac:dyDescent="0.25">
      <c r="A13">
        <v>185.5</v>
      </c>
      <c r="B13">
        <f>ABS(A13-obs!A13)</f>
        <v>25.399993896484375</v>
      </c>
    </row>
    <row r="14" spans="1:5" x14ac:dyDescent="0.25">
      <c r="A14">
        <v>235</v>
      </c>
      <c r="B14">
        <f>ABS(A14-obs!A14)</f>
        <v>190.59999847412109</v>
      </c>
    </row>
    <row r="15" spans="1:5" x14ac:dyDescent="0.25">
      <c r="A15">
        <v>284.3</v>
      </c>
      <c r="B15">
        <f>ABS(A15-obs!A15)</f>
        <v>85.699999999999989</v>
      </c>
    </row>
    <row r="16" spans="1:5" x14ac:dyDescent="0.25">
      <c r="A16">
        <v>303.8</v>
      </c>
      <c r="B16">
        <f>ABS(A16-obs!A16)</f>
        <v>288.99999980926515</v>
      </c>
    </row>
    <row r="17" spans="1:2" x14ac:dyDescent="0.25">
      <c r="A17">
        <v>310.8</v>
      </c>
      <c r="B17">
        <f>ABS(A17-obs!A17)</f>
        <v>259.00000076293946</v>
      </c>
    </row>
    <row r="18" spans="1:2" x14ac:dyDescent="0.25">
      <c r="A18">
        <v>313</v>
      </c>
      <c r="B18">
        <f>ABS(A18-obs!A18)</f>
        <v>216.80000305175781</v>
      </c>
    </row>
    <row r="19" spans="1:2" x14ac:dyDescent="0.25">
      <c r="A19">
        <v>247.2</v>
      </c>
      <c r="B19">
        <f>ABS(A19-obs!A19)</f>
        <v>156.09998779296876</v>
      </c>
    </row>
    <row r="20" spans="1:2" x14ac:dyDescent="0.25">
      <c r="A20">
        <v>196</v>
      </c>
      <c r="B20">
        <f>ABS(A20-obs!A20)</f>
        <v>18.600006103515625</v>
      </c>
    </row>
    <row r="21" spans="1:2" x14ac:dyDescent="0.25">
      <c r="A21">
        <v>158.19999999999999</v>
      </c>
      <c r="B21">
        <f>ABS(A21-obs!A21)</f>
        <v>311.69999389648439</v>
      </c>
    </row>
    <row r="22" spans="1:2" x14ac:dyDescent="0.25">
      <c r="A22">
        <v>144.6</v>
      </c>
      <c r="B22">
        <f>ABS(A22-obs!A22)</f>
        <v>144.00000610351563</v>
      </c>
    </row>
    <row r="23" spans="1:2" x14ac:dyDescent="0.25">
      <c r="A23">
        <v>285.39999999999998</v>
      </c>
      <c r="B23">
        <f>ABS(A23-obs!A23)</f>
        <v>203.99999847412107</v>
      </c>
    </row>
    <row r="24" spans="1:2" x14ac:dyDescent="0.25">
      <c r="A24">
        <v>290.60000000000002</v>
      </c>
      <c r="B24">
        <f>ABS(A24-obs!A24)</f>
        <v>235.10000000000002</v>
      </c>
    </row>
    <row r="25" spans="1:2" x14ac:dyDescent="0.25">
      <c r="A25">
        <v>283.60000000000002</v>
      </c>
      <c r="B25">
        <f>ABS(A25-obs!A25)</f>
        <v>246.60000000000002</v>
      </c>
    </row>
    <row r="26" spans="1:2" x14ac:dyDescent="0.25">
      <c r="A26">
        <v>287.7</v>
      </c>
      <c r="B26">
        <f>ABS(A26-obs!A26)</f>
        <v>217.39999694824218</v>
      </c>
    </row>
    <row r="27" spans="1:2" x14ac:dyDescent="0.25">
      <c r="A27">
        <v>281.7</v>
      </c>
      <c r="B27">
        <f>ABS(A27-obs!A27)</f>
        <v>213.2500030517578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191.8</v>
      </c>
      <c r="B1">
        <f>ABS(A1-obs!A1)</f>
        <v>143.70000152587892</v>
      </c>
      <c r="C1">
        <f>AVERAGE(B:B)</f>
        <v>115.81111130184594</v>
      </c>
      <c r="D1">
        <f>CORREL(A1:A27,obs!A1:A27)</f>
        <v>0.156900055309461</v>
      </c>
      <c r="E1">
        <f>AVERAGE(A1:A27)</f>
        <v>182.03703703703701</v>
      </c>
    </row>
    <row r="2" spans="1:5" x14ac:dyDescent="0.25">
      <c r="A2">
        <v>193.8</v>
      </c>
      <c r="B2">
        <f>ABS(A2-obs!A2)</f>
        <v>143.84999923706056</v>
      </c>
    </row>
    <row r="3" spans="1:5" x14ac:dyDescent="0.25">
      <c r="A3">
        <v>195.5</v>
      </c>
      <c r="B3">
        <f>ABS(A3-obs!A3)</f>
        <v>152.95000076293945</v>
      </c>
    </row>
    <row r="4" spans="1:5" x14ac:dyDescent="0.25">
      <c r="A4">
        <v>199</v>
      </c>
      <c r="B4">
        <f>ABS(A4-obs!A4)</f>
        <v>162</v>
      </c>
    </row>
    <row r="5" spans="1:5" x14ac:dyDescent="0.25">
      <c r="A5">
        <v>201.7</v>
      </c>
      <c r="B5">
        <f>ABS(A5-obs!A5)</f>
        <v>160.99999923706054</v>
      </c>
    </row>
    <row r="6" spans="1:5" x14ac:dyDescent="0.25">
      <c r="A6">
        <v>209.2</v>
      </c>
      <c r="B6">
        <f>ABS(A6-obs!A6)</f>
        <v>175.90000076293944</v>
      </c>
    </row>
    <row r="7" spans="1:5" x14ac:dyDescent="0.25">
      <c r="A7">
        <v>220.3</v>
      </c>
      <c r="B7">
        <f>ABS(A7-obs!A7)</f>
        <v>31.600003051757824</v>
      </c>
    </row>
    <row r="8" spans="1:5" x14ac:dyDescent="0.25">
      <c r="A8">
        <v>235.3</v>
      </c>
      <c r="B8">
        <f>ABS(A8-obs!A8)</f>
        <v>81.749996948242199</v>
      </c>
    </row>
    <row r="9" spans="1:5" x14ac:dyDescent="0.25">
      <c r="A9">
        <v>215.2</v>
      </c>
      <c r="B9">
        <f>ABS(A9-obs!A9)</f>
        <v>30.199999999999989</v>
      </c>
    </row>
    <row r="10" spans="1:5" x14ac:dyDescent="0.25">
      <c r="A10">
        <v>207.9</v>
      </c>
      <c r="B10">
        <f>ABS(A10-obs!A10)</f>
        <v>210.20000610351562</v>
      </c>
    </row>
    <row r="11" spans="1:5" x14ac:dyDescent="0.25">
      <c r="A11">
        <v>201.7</v>
      </c>
      <c r="B11">
        <f>ABS(A11-obs!A11)</f>
        <v>49.900006103515636</v>
      </c>
    </row>
    <row r="12" spans="1:5" x14ac:dyDescent="0.25">
      <c r="A12">
        <v>197.1</v>
      </c>
      <c r="B12">
        <f>ABS(A12-obs!A12)</f>
        <v>26.900003051757807</v>
      </c>
    </row>
    <row r="13" spans="1:5" x14ac:dyDescent="0.25">
      <c r="A13">
        <v>194.5</v>
      </c>
      <c r="B13">
        <f>ABS(A13-obs!A13)</f>
        <v>16.399993896484375</v>
      </c>
    </row>
    <row r="14" spans="1:5" x14ac:dyDescent="0.25">
      <c r="A14">
        <v>191.6</v>
      </c>
      <c r="B14">
        <f>ABS(A14-obs!A14)</f>
        <v>147.19999847412109</v>
      </c>
    </row>
    <row r="15" spans="1:5" x14ac:dyDescent="0.25">
      <c r="A15">
        <v>183.5</v>
      </c>
      <c r="B15">
        <f>ABS(A15-obs!A15)</f>
        <v>186.5</v>
      </c>
    </row>
    <row r="16" spans="1:5" x14ac:dyDescent="0.25">
      <c r="A16">
        <v>183.5</v>
      </c>
      <c r="B16">
        <f>ABS(A16-obs!A16)</f>
        <v>168.69999980926514</v>
      </c>
    </row>
    <row r="17" spans="1:2" x14ac:dyDescent="0.25">
      <c r="A17">
        <v>166.9</v>
      </c>
      <c r="B17">
        <f>ABS(A17-obs!A17)</f>
        <v>115.10000076293946</v>
      </c>
    </row>
    <row r="18" spans="1:2" x14ac:dyDescent="0.25">
      <c r="A18">
        <v>161.9</v>
      </c>
      <c r="B18">
        <f>ABS(A18-obs!A18)</f>
        <v>65.700003051757818</v>
      </c>
    </row>
    <row r="19" spans="1:2" x14ac:dyDescent="0.25">
      <c r="A19">
        <v>162.5</v>
      </c>
      <c r="B19">
        <f>ABS(A19-obs!A19)</f>
        <v>240.79998779296875</v>
      </c>
    </row>
    <row r="20" spans="1:2" x14ac:dyDescent="0.25">
      <c r="A20">
        <v>164.6</v>
      </c>
      <c r="B20">
        <f>ABS(A20-obs!A20)</f>
        <v>50.000006103515631</v>
      </c>
    </row>
    <row r="21" spans="1:2" x14ac:dyDescent="0.25">
      <c r="A21">
        <v>174.8</v>
      </c>
      <c r="B21">
        <f>ABS(A21-obs!A21)</f>
        <v>295.09999389648436</v>
      </c>
    </row>
    <row r="22" spans="1:2" x14ac:dyDescent="0.25">
      <c r="A22">
        <v>183.6</v>
      </c>
      <c r="B22">
        <f>ABS(A22-obs!A22)</f>
        <v>105.00000610351563</v>
      </c>
    </row>
    <row r="23" spans="1:2" x14ac:dyDescent="0.25">
      <c r="A23">
        <v>149.19999999999999</v>
      </c>
      <c r="B23">
        <f>ABS(A23-obs!A23)</f>
        <v>67.799998474121082</v>
      </c>
    </row>
    <row r="24" spans="1:2" x14ac:dyDescent="0.25">
      <c r="A24">
        <v>144.19999999999999</v>
      </c>
      <c r="B24">
        <f>ABS(A24-obs!A24)</f>
        <v>88.699999999999989</v>
      </c>
    </row>
    <row r="25" spans="1:2" x14ac:dyDescent="0.25">
      <c r="A25">
        <v>130.80000000000001</v>
      </c>
      <c r="B25">
        <f>ABS(A25-obs!A25)</f>
        <v>93.800000000000011</v>
      </c>
    </row>
    <row r="26" spans="1:2" x14ac:dyDescent="0.25">
      <c r="A26">
        <v>118.2</v>
      </c>
      <c r="B26">
        <f>ABS(A26-obs!A26)</f>
        <v>47.89999694824219</v>
      </c>
    </row>
    <row r="27" spans="1:2" x14ac:dyDescent="0.25">
      <c r="A27">
        <v>136.69999999999999</v>
      </c>
      <c r="B27">
        <f>ABS(A27-obs!A27)</f>
        <v>68.250003051757801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239.7</v>
      </c>
      <c r="B1">
        <f>ABS(A1-obs!A1)</f>
        <v>191.60000152587889</v>
      </c>
      <c r="C1">
        <f>AVERAGE(B:B)</f>
        <v>171.67740737208618</v>
      </c>
      <c r="D1">
        <f>CORREL(A1:A27,obs!A1:A27)</f>
        <v>-0.70752663675256244</v>
      </c>
      <c r="E1">
        <f>AVERAGE(A1:A27)</f>
        <v>179.03370370370371</v>
      </c>
    </row>
    <row r="2" spans="1:5" x14ac:dyDescent="0.25">
      <c r="A2">
        <v>228.8</v>
      </c>
      <c r="B2">
        <f>ABS(A2-obs!A2)</f>
        <v>178.84999923706056</v>
      </c>
    </row>
    <row r="3" spans="1:5" x14ac:dyDescent="0.25">
      <c r="A3">
        <v>230</v>
      </c>
      <c r="B3">
        <f>ABS(A3-obs!A3)</f>
        <v>187.45000076293945</v>
      </c>
    </row>
    <row r="4" spans="1:5" x14ac:dyDescent="0.25">
      <c r="A4">
        <v>213.6</v>
      </c>
      <c r="B4">
        <f>ABS(A4-obs!A4)</f>
        <v>176.6</v>
      </c>
    </row>
    <row r="5" spans="1:5" x14ac:dyDescent="0.25">
      <c r="A5">
        <v>206.6</v>
      </c>
      <c r="B5">
        <f>ABS(A5-obs!A5)</f>
        <v>165.89999923706054</v>
      </c>
    </row>
    <row r="6" spans="1:5" x14ac:dyDescent="0.25">
      <c r="A6">
        <v>202.8</v>
      </c>
      <c r="B6">
        <f>ABS(A6-obs!A6)</f>
        <v>169.50000076293946</v>
      </c>
    </row>
    <row r="7" spans="1:5" x14ac:dyDescent="0.25">
      <c r="A7">
        <v>117.1</v>
      </c>
      <c r="B7">
        <f>ABS(A7-obs!A7)</f>
        <v>71.599996948242193</v>
      </c>
    </row>
    <row r="8" spans="1:5" x14ac:dyDescent="0.25">
      <c r="A8">
        <v>127.7</v>
      </c>
      <c r="B8">
        <f>ABS(A8-obs!A8)</f>
        <v>25.85000305175781</v>
      </c>
    </row>
    <row r="9" spans="1:5" x14ac:dyDescent="0.25">
      <c r="A9">
        <v>113.7</v>
      </c>
      <c r="B9">
        <f>ABS(A9-obs!A9)</f>
        <v>71.3</v>
      </c>
    </row>
    <row r="10" spans="1:5" x14ac:dyDescent="0.25">
      <c r="A10">
        <v>108.7</v>
      </c>
      <c r="B10">
        <f>ABS(A10-obs!A10)</f>
        <v>309.40000610351564</v>
      </c>
    </row>
    <row r="11" spans="1:5" x14ac:dyDescent="0.25">
      <c r="A11">
        <v>104.9</v>
      </c>
      <c r="B11">
        <f>ABS(A11-obs!A11)</f>
        <v>146.70000610351562</v>
      </c>
    </row>
    <row r="12" spans="1:5" x14ac:dyDescent="0.25">
      <c r="A12">
        <v>103.5</v>
      </c>
      <c r="B12">
        <f>ABS(A12-obs!A12)</f>
        <v>66.699996948242187</v>
      </c>
    </row>
    <row r="13" spans="1:5" x14ac:dyDescent="0.25">
      <c r="A13">
        <v>115.2</v>
      </c>
      <c r="B13">
        <f>ABS(A13-obs!A13)</f>
        <v>95.699993896484372</v>
      </c>
    </row>
    <row r="14" spans="1:5" x14ac:dyDescent="0.25">
      <c r="A14">
        <v>141.5</v>
      </c>
      <c r="B14">
        <f>ABS(A14-obs!A14)</f>
        <v>97.099998474121094</v>
      </c>
    </row>
    <row r="15" spans="1:5" x14ac:dyDescent="0.25">
      <c r="A15">
        <v>167.7</v>
      </c>
      <c r="B15">
        <f>ABS(A15-obs!A15)</f>
        <v>202.3</v>
      </c>
    </row>
    <row r="16" spans="1:5" x14ac:dyDescent="0.25">
      <c r="A16">
        <v>190.4</v>
      </c>
      <c r="B16">
        <f>ABS(A16-obs!A16)</f>
        <v>175.59999980926514</v>
      </c>
    </row>
    <row r="17" spans="1:2" x14ac:dyDescent="0.25">
      <c r="A17">
        <v>280.10000000000002</v>
      </c>
      <c r="B17">
        <f>ABS(A17-obs!A17)</f>
        <v>228.30000076293948</v>
      </c>
    </row>
    <row r="18" spans="1:2" x14ac:dyDescent="0.25">
      <c r="A18">
        <v>235</v>
      </c>
      <c r="B18">
        <f>ABS(A18-obs!A18)</f>
        <v>138.80000305175781</v>
      </c>
    </row>
    <row r="19" spans="1:2" x14ac:dyDescent="0.25">
      <c r="A19">
        <v>128.19999999999999</v>
      </c>
      <c r="B19">
        <f>ABS(A19-obs!A19)</f>
        <v>275.09998779296876</v>
      </c>
    </row>
    <row r="20" spans="1:2" x14ac:dyDescent="0.25">
      <c r="A20">
        <v>98.47</v>
      </c>
      <c r="B20">
        <f>ABS(A20-obs!A20)</f>
        <v>116.13000610351563</v>
      </c>
    </row>
    <row r="21" spans="1:2" x14ac:dyDescent="0.25">
      <c r="A21">
        <v>95.35</v>
      </c>
      <c r="B21">
        <f>ABS(A21-obs!A21)</f>
        <v>374.54999389648435</v>
      </c>
    </row>
    <row r="22" spans="1:2" x14ac:dyDescent="0.25">
      <c r="A22">
        <v>95.29</v>
      </c>
      <c r="B22">
        <f>ABS(A22-obs!A22)</f>
        <v>193.3100061035156</v>
      </c>
    </row>
    <row r="23" spans="1:2" x14ac:dyDescent="0.25">
      <c r="A23">
        <v>277.60000000000002</v>
      </c>
      <c r="B23">
        <f>ABS(A23-obs!A23)</f>
        <v>196.19999847412112</v>
      </c>
    </row>
    <row r="24" spans="1:2" x14ac:dyDescent="0.25">
      <c r="A24">
        <v>285.7</v>
      </c>
      <c r="B24">
        <f>ABS(A24-obs!A24)</f>
        <v>230.2</v>
      </c>
    </row>
    <row r="25" spans="1:2" x14ac:dyDescent="0.25">
      <c r="A25">
        <v>259.89999999999998</v>
      </c>
      <c r="B25">
        <f>ABS(A25-obs!A25)</f>
        <v>222.89999999999998</v>
      </c>
    </row>
    <row r="26" spans="1:2" x14ac:dyDescent="0.25">
      <c r="A26">
        <v>195.6</v>
      </c>
      <c r="B26">
        <f>ABS(A26-obs!A26)</f>
        <v>125.29999694824218</v>
      </c>
    </row>
    <row r="27" spans="1:2" x14ac:dyDescent="0.25">
      <c r="A27">
        <v>270.8</v>
      </c>
      <c r="B27">
        <f>ABS(A27-obs!A27)</f>
        <v>202.35000305175782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" sqref="B1:E1048576"/>
    </sheetView>
  </sheetViews>
  <sheetFormatPr defaultRowHeight="15" x14ac:dyDescent="0.25"/>
  <sheetData>
    <row r="1" spans="1:5" x14ac:dyDescent="0.25">
      <c r="A1">
        <v>169.3</v>
      </c>
      <c r="B1">
        <f>ABS(A1-obs!A1)</f>
        <v>121.20000152587892</v>
      </c>
      <c r="C1">
        <f>AVERAGE(B:B)</f>
        <v>133.33703700171574</v>
      </c>
      <c r="D1">
        <f>CORREL(A1:A27,obs!A1:A27)</f>
        <v>-0.66255069926003285</v>
      </c>
      <c r="E1">
        <f>AVERAGE(A1:A27)</f>
        <v>147.04814814814816</v>
      </c>
    </row>
    <row r="2" spans="1:5" x14ac:dyDescent="0.25">
      <c r="A2">
        <v>165</v>
      </c>
      <c r="B2">
        <f>ABS(A2-obs!A2)</f>
        <v>115.04999923706055</v>
      </c>
    </row>
    <row r="3" spans="1:5" x14ac:dyDescent="0.25">
      <c r="A3">
        <v>160.19999999999999</v>
      </c>
      <c r="B3">
        <f>ABS(A3-obs!A3)</f>
        <v>117.65000076293944</v>
      </c>
    </row>
    <row r="4" spans="1:5" x14ac:dyDescent="0.25">
      <c r="A4">
        <v>151.5</v>
      </c>
      <c r="B4">
        <f>ABS(A4-obs!A4)</f>
        <v>114.5</v>
      </c>
    </row>
    <row r="5" spans="1:5" x14ac:dyDescent="0.25">
      <c r="A5">
        <v>149.6</v>
      </c>
      <c r="B5">
        <f>ABS(A5-obs!A5)</f>
        <v>108.89999923706054</v>
      </c>
    </row>
    <row r="6" spans="1:5" x14ac:dyDescent="0.25">
      <c r="A6">
        <v>149.5</v>
      </c>
      <c r="B6">
        <f>ABS(A6-obs!A6)</f>
        <v>116.20000076293945</v>
      </c>
    </row>
    <row r="7" spans="1:5" x14ac:dyDescent="0.25">
      <c r="A7">
        <v>130.19999999999999</v>
      </c>
      <c r="B7">
        <f>ABS(A7-obs!A7)</f>
        <v>58.499996948242199</v>
      </c>
    </row>
    <row r="8" spans="1:5" x14ac:dyDescent="0.25">
      <c r="A8">
        <v>136.19999999999999</v>
      </c>
      <c r="B8">
        <f>ABS(A8-obs!A8)</f>
        <v>17.350003051757824</v>
      </c>
    </row>
    <row r="9" spans="1:5" x14ac:dyDescent="0.25">
      <c r="A9">
        <v>128.80000000000001</v>
      </c>
      <c r="B9">
        <f>ABS(A9-obs!A9)</f>
        <v>56.199999999999989</v>
      </c>
    </row>
    <row r="10" spans="1:5" x14ac:dyDescent="0.25">
      <c r="A10">
        <v>125.3</v>
      </c>
      <c r="B10">
        <f>ABS(A10-obs!A10)</f>
        <v>292.80000610351561</v>
      </c>
    </row>
    <row r="11" spans="1:5" x14ac:dyDescent="0.25">
      <c r="A11">
        <v>121.5</v>
      </c>
      <c r="B11">
        <f>ABS(A11-obs!A11)</f>
        <v>130.10000610351562</v>
      </c>
    </row>
    <row r="12" spans="1:5" x14ac:dyDescent="0.25">
      <c r="A12">
        <v>117.6</v>
      </c>
      <c r="B12">
        <f>ABS(A12-obs!A12)</f>
        <v>52.599996948242193</v>
      </c>
    </row>
    <row r="13" spans="1:5" x14ac:dyDescent="0.25">
      <c r="A13">
        <v>115.6</v>
      </c>
      <c r="B13">
        <f>ABS(A13-obs!A13)</f>
        <v>95.299993896484381</v>
      </c>
    </row>
    <row r="14" spans="1:5" x14ac:dyDescent="0.25">
      <c r="A14">
        <v>123.3</v>
      </c>
      <c r="B14">
        <f>ABS(A14-obs!A14)</f>
        <v>78.899998474121091</v>
      </c>
    </row>
    <row r="15" spans="1:5" x14ac:dyDescent="0.25">
      <c r="A15">
        <v>134.1</v>
      </c>
      <c r="B15">
        <f>ABS(A15-obs!A15)</f>
        <v>235.9</v>
      </c>
    </row>
    <row r="16" spans="1:5" x14ac:dyDescent="0.25">
      <c r="A16">
        <v>142.80000000000001</v>
      </c>
      <c r="B16">
        <f>ABS(A16-obs!A16)</f>
        <v>127.99999980926515</v>
      </c>
    </row>
    <row r="17" spans="1:2" x14ac:dyDescent="0.25">
      <c r="A17">
        <v>191.1</v>
      </c>
      <c r="B17">
        <f>ABS(A17-obs!A17)</f>
        <v>139.30000076293945</v>
      </c>
    </row>
    <row r="18" spans="1:2" x14ac:dyDescent="0.25">
      <c r="A18">
        <v>166.5</v>
      </c>
      <c r="B18">
        <f>ABS(A18-obs!A18)</f>
        <v>70.300003051757813</v>
      </c>
    </row>
    <row r="19" spans="1:2" x14ac:dyDescent="0.25">
      <c r="A19">
        <v>119.4</v>
      </c>
      <c r="B19">
        <f>ABS(A19-obs!A19)</f>
        <v>283.89998779296877</v>
      </c>
    </row>
    <row r="20" spans="1:2" x14ac:dyDescent="0.25">
      <c r="A20">
        <v>106.8</v>
      </c>
      <c r="B20">
        <f>ABS(A20-obs!A20)</f>
        <v>107.80000610351563</v>
      </c>
    </row>
    <row r="21" spans="1:2" x14ac:dyDescent="0.25">
      <c r="A21">
        <v>112.8</v>
      </c>
      <c r="B21">
        <f>ABS(A21-obs!A21)</f>
        <v>357.09999389648436</v>
      </c>
    </row>
    <row r="22" spans="1:2" x14ac:dyDescent="0.25">
      <c r="A22">
        <v>113.3</v>
      </c>
      <c r="B22">
        <f>ABS(A22-obs!A22)</f>
        <v>175.30000610351561</v>
      </c>
    </row>
    <row r="23" spans="1:2" x14ac:dyDescent="0.25">
      <c r="A23">
        <v>189.1</v>
      </c>
      <c r="B23">
        <f>ABS(A23-obs!A23)</f>
        <v>107.69999847412109</v>
      </c>
    </row>
    <row r="24" spans="1:2" x14ac:dyDescent="0.25">
      <c r="A24">
        <v>196.1</v>
      </c>
      <c r="B24">
        <f>ABS(A24-obs!A24)</f>
        <v>140.6</v>
      </c>
    </row>
    <row r="25" spans="1:2" x14ac:dyDescent="0.25">
      <c r="A25">
        <v>188.8</v>
      </c>
      <c r="B25">
        <f>ABS(A25-obs!A25)</f>
        <v>151.80000000000001</v>
      </c>
    </row>
    <row r="26" spans="1:2" x14ac:dyDescent="0.25">
      <c r="A26">
        <v>167</v>
      </c>
      <c r="B26">
        <f>ABS(A26-obs!A26)</f>
        <v>96.699996948242188</v>
      </c>
    </row>
    <row r="27" spans="1:2" x14ac:dyDescent="0.25">
      <c r="A27">
        <v>198.9</v>
      </c>
      <c r="B27">
        <f>ABS(A27-obs!A27)</f>
        <v>130.45000305175782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J15" sqref="J15"/>
    </sheetView>
  </sheetViews>
  <sheetFormatPr defaultRowHeight="15" x14ac:dyDescent="0.25"/>
  <sheetData>
    <row r="1" spans="1:5" x14ac:dyDescent="0.25">
      <c r="A1">
        <f>('01.hydrol1dep1'!A1+'02.hydrol1dep2'!A1+'03.hydrol1dep3'!A1+'04.hydrol1dep4'!A1+'05.hydrol2dep1'!A1+'06.hydrol2dep2'!A1+'07.hydrol2dep3'!A1+'08.hydrol2dep4'!A1)/8</f>
        <v>216.22499999999999</v>
      </c>
      <c r="B1">
        <f>ABS(A1-obs!A1)</f>
        <v>168.1250015258789</v>
      </c>
      <c r="C1">
        <f>AVERAGE(B:B)</f>
        <v>145.34842589060466</v>
      </c>
      <c r="D1">
        <f>CORREL(A1:A27,obs!A1:A27)</f>
        <v>-0.6746391542815342</v>
      </c>
      <c r="E1">
        <f>AVERAGE(A1:A27)</f>
        <v>181.30185185185186</v>
      </c>
    </row>
    <row r="2" spans="1:5" x14ac:dyDescent="0.25">
      <c r="A2">
        <f>('01.hydrol1dep1'!A2+'02.hydrol1dep2'!A2+'03.hydrol1dep3'!A2+'04.hydrol1dep4'!A2+'05.hydrol2dep1'!A2+'06.hydrol2dep2'!A2+'07.hydrol2dep3'!A2+'08.hydrol2dep4'!A2)/8</f>
        <v>208.4375</v>
      </c>
      <c r="B2">
        <f>ABS(A2-obs!A2)</f>
        <v>158.48749923706055</v>
      </c>
    </row>
    <row r="3" spans="1:5" x14ac:dyDescent="0.25">
      <c r="A3">
        <f>('01.hydrol1dep1'!A3+'02.hydrol1dep2'!A3+'03.hydrol1dep3'!A3+'04.hydrol1dep4'!A3+'05.hydrol2dep1'!A3+'06.hydrol2dep2'!A3+'07.hydrol2dep3'!A3+'08.hydrol2dep4'!A3)/8</f>
        <v>223.58750000000001</v>
      </c>
      <c r="B3">
        <f>ABS(A3-obs!A3)</f>
        <v>181.03750076293946</v>
      </c>
    </row>
    <row r="4" spans="1:5" x14ac:dyDescent="0.25">
      <c r="A4">
        <f>('01.hydrol1dep1'!A4+'02.hydrol1dep2'!A4+'03.hydrol1dep3'!A4+'04.hydrol1dep4'!A4+'05.hydrol2dep1'!A4+'06.hydrol2dep2'!A4+'07.hydrol2dep3'!A4+'08.hydrol2dep4'!A4)/8</f>
        <v>216.875</v>
      </c>
      <c r="B4">
        <f>ABS(A4-obs!A4)</f>
        <v>179.875</v>
      </c>
    </row>
    <row r="5" spans="1:5" x14ac:dyDescent="0.25">
      <c r="A5">
        <f>('01.hydrol1dep1'!A5+'02.hydrol1dep2'!A5+'03.hydrol1dep3'!A5+'04.hydrol1dep4'!A5+'05.hydrol2dep1'!A5+'06.hydrol2dep2'!A5+'07.hydrol2dep3'!A5+'08.hydrol2dep4'!A5)/8</f>
        <v>211.68749999999997</v>
      </c>
      <c r="B5">
        <f>ABS(A5-obs!A5)</f>
        <v>170.98749923706052</v>
      </c>
    </row>
    <row r="6" spans="1:5" x14ac:dyDescent="0.25">
      <c r="A6">
        <f>('01.hydrol1dep1'!A6+'02.hydrol1dep2'!A6+'03.hydrol1dep3'!A6+'04.hydrol1dep4'!A6+'05.hydrol2dep1'!A6+'06.hydrol2dep2'!A6+'07.hydrol2dep3'!A6+'08.hydrol2dep4'!A6)/8</f>
        <v>212.03749999999999</v>
      </c>
      <c r="B6">
        <f>ABS(A6-obs!A6)</f>
        <v>178.73750076293945</v>
      </c>
    </row>
    <row r="7" spans="1:5" x14ac:dyDescent="0.25">
      <c r="A7">
        <f>('01.hydrol1dep1'!A7+'02.hydrol1dep2'!A7+'03.hydrol1dep3'!A7+'04.hydrol1dep4'!A7+'05.hydrol2dep1'!A7+'06.hydrol2dep2'!A7+'07.hydrol2dep3'!A7+'08.hydrol2dep4'!A7)/8</f>
        <v>136.34124999999997</v>
      </c>
      <c r="B7">
        <f>ABS(A7-obs!A7)</f>
        <v>52.358746948242214</v>
      </c>
    </row>
    <row r="8" spans="1:5" x14ac:dyDescent="0.25">
      <c r="A8">
        <f>('01.hydrol1dep1'!A8+'02.hydrol1dep2'!A8+'03.hydrol1dep3'!A8+'04.hydrol1dep4'!A8+'05.hydrol2dep1'!A8+'06.hydrol2dep2'!A8+'07.hydrol2dep3'!A8+'08.hydrol2dep4'!A8)/8</f>
        <v>141.97375</v>
      </c>
      <c r="B8">
        <f>ABS(A8-obs!A8)</f>
        <v>11.576253051757817</v>
      </c>
    </row>
    <row r="9" spans="1:5" x14ac:dyDescent="0.25">
      <c r="A9">
        <f>('01.hydrol1dep1'!A9+'02.hydrol1dep2'!A9+'03.hydrol1dep3'!A9+'04.hydrol1dep4'!A9+'05.hydrol2dep1'!A9+'06.hydrol2dep2'!A9+'07.hydrol2dep3'!A9+'08.hydrol2dep4'!A9)/8</f>
        <v>134.19999999999999</v>
      </c>
      <c r="B9">
        <f>ABS(A9-obs!A9)</f>
        <v>50.800000000000011</v>
      </c>
    </row>
    <row r="10" spans="1:5" x14ac:dyDescent="0.25">
      <c r="A10">
        <f>('01.hydrol1dep1'!A10+'02.hydrol1dep2'!A10+'03.hydrol1dep3'!A10+'04.hydrol1dep4'!A10+'05.hydrol2dep1'!A10+'06.hydrol2dep2'!A10+'07.hydrol2dep3'!A10+'08.hydrol2dep4'!A10)/8</f>
        <v>130.95625000000001</v>
      </c>
      <c r="B10">
        <f>ABS(A10-obs!A10)</f>
        <v>287.14375610351561</v>
      </c>
    </row>
    <row r="11" spans="1:5" x14ac:dyDescent="0.25">
      <c r="A11">
        <f>('01.hydrol1dep1'!A11+'02.hydrol1dep2'!A11+'03.hydrol1dep3'!A11+'04.hydrol1dep4'!A11+'05.hydrol2dep1'!A11+'06.hydrol2dep2'!A11+'07.hydrol2dep3'!A11+'08.hydrol2dep4'!A11)/8</f>
        <v>130.84125</v>
      </c>
      <c r="B11">
        <f>ABS(A11-obs!A11)</f>
        <v>120.75875610351562</v>
      </c>
    </row>
    <row r="12" spans="1:5" x14ac:dyDescent="0.25">
      <c r="A12">
        <f>('01.hydrol1dep1'!A12+'02.hydrol1dep2'!A12+'03.hydrol1dep3'!A12+'04.hydrol1dep4'!A12+'05.hydrol2dep1'!A12+'06.hydrol2dep2'!A12+'07.hydrol2dep3'!A12+'08.hydrol2dep4'!A12)/8</f>
        <v>135.16875000000002</v>
      </c>
      <c r="B12">
        <f>ABS(A12-obs!A12)</f>
        <v>35.03124694824217</v>
      </c>
    </row>
    <row r="13" spans="1:5" x14ac:dyDescent="0.25">
      <c r="A13">
        <f>('01.hydrol1dep1'!A13+'02.hydrol1dep2'!A13+'03.hydrol1dep3'!A13+'04.hydrol1dep4'!A13+'05.hydrol2dep1'!A13+'06.hydrol2dep2'!A13+'07.hydrol2dep3'!A13+'08.hydrol2dep4'!A13)/8</f>
        <v>163.1</v>
      </c>
      <c r="B13">
        <f>ABS(A13-obs!A13)</f>
        <v>47.799993896484381</v>
      </c>
    </row>
    <row r="14" spans="1:5" x14ac:dyDescent="0.25">
      <c r="A14">
        <f>('01.hydrol1dep1'!A14+'02.hydrol1dep2'!A14+'03.hydrol1dep3'!A14+'04.hydrol1dep4'!A14+'05.hydrol2dep1'!A14+'06.hydrol2dep2'!A14+'07.hydrol2dep3'!A14+'08.hydrol2dep4'!A14)/8</f>
        <v>188.23749999999998</v>
      </c>
      <c r="B14">
        <f>ABS(A14-obs!A14)</f>
        <v>143.83749847412108</v>
      </c>
    </row>
    <row r="15" spans="1:5" x14ac:dyDescent="0.25">
      <c r="A15">
        <f>('01.hydrol1dep1'!A15+'02.hydrol1dep2'!A15+'03.hydrol1dep3'!A15+'04.hydrol1dep4'!A15+'05.hydrol2dep1'!A15+'06.hydrol2dep2'!A15+'07.hydrol2dep3'!A15+'08.hydrol2dep4'!A15)/8</f>
        <v>207.22499999999999</v>
      </c>
      <c r="B15">
        <f>ABS(A15-obs!A15)</f>
        <v>162.77500000000001</v>
      </c>
    </row>
    <row r="16" spans="1:5" x14ac:dyDescent="0.25">
      <c r="A16">
        <f>('01.hydrol1dep1'!A16+'02.hydrol1dep2'!A16+'03.hydrol1dep3'!A16+'04.hydrol1dep4'!A16+'05.hydrol2dep1'!A16+'06.hydrol2dep2'!A16+'07.hydrol2dep3'!A16+'08.hydrol2dep4'!A16)/8</f>
        <v>217.98750000000001</v>
      </c>
      <c r="B16">
        <f>ABS(A16-obs!A16)</f>
        <v>203.18749980926515</v>
      </c>
    </row>
    <row r="17" spans="1:2" x14ac:dyDescent="0.25">
      <c r="A17">
        <f>('01.hydrol1dep1'!A17+'02.hydrol1dep2'!A17+'03.hydrol1dep3'!A17+'04.hydrol1dep4'!A17+'05.hydrol2dep1'!A17+'06.hydrol2dep2'!A17+'07.hydrol2dep3'!A17+'08.hydrol2dep4'!A17)/8</f>
        <v>238.72499999999997</v>
      </c>
      <c r="B17">
        <f>ABS(A17-obs!A17)</f>
        <v>186.92500076293942</v>
      </c>
    </row>
    <row r="18" spans="1:2" x14ac:dyDescent="0.25">
      <c r="A18">
        <f>('01.hydrol1dep1'!A18+'02.hydrol1dep2'!A18+'03.hydrol1dep3'!A18+'04.hydrol1dep4'!A18+'05.hydrol2dep1'!A18+'06.hydrol2dep2'!A18+'07.hydrol2dep3'!A18+'08.hydrol2dep4'!A18)/8</f>
        <v>224.71250000000001</v>
      </c>
      <c r="B18">
        <f>ABS(A18-obs!A18)</f>
        <v>128.51250305175782</v>
      </c>
    </row>
    <row r="19" spans="1:2" x14ac:dyDescent="0.25">
      <c r="A19">
        <f>('01.hydrol1dep1'!A19+'02.hydrol1dep2'!A19+'03.hydrol1dep3'!A19+'04.hydrol1dep4'!A19+'05.hydrol2dep1'!A19+'06.hydrol2dep2'!A19+'07.hydrol2dep3'!A19+'08.hydrol2dep4'!A19)/8</f>
        <v>172.63750000000002</v>
      </c>
      <c r="B19">
        <f>ABS(A19-obs!A19)</f>
        <v>230.66248779296873</v>
      </c>
    </row>
    <row r="20" spans="1:2" x14ac:dyDescent="0.25">
      <c r="A20">
        <f>('01.hydrol1dep1'!A20+'02.hydrol1dep2'!A20+'03.hydrol1dep3'!A20+'04.hydrol1dep4'!A20+'05.hydrol2dep1'!A20+'06.hydrol2dep2'!A20+'07.hydrol2dep3'!A20+'08.hydrol2dep4'!A20)/8</f>
        <v>150.72125</v>
      </c>
      <c r="B20">
        <f>ABS(A20-obs!A20)</f>
        <v>63.878756103515627</v>
      </c>
    </row>
    <row r="21" spans="1:2" x14ac:dyDescent="0.25">
      <c r="A21">
        <f>('01.hydrol1dep1'!A21+'02.hydrol1dep2'!A21+'03.hydrol1dep3'!A21+'04.hydrol1dep4'!A21+'05.hydrol2dep1'!A21+'06.hydrol2dep2'!A21+'07.hydrol2dep3'!A21+'08.hydrol2dep4'!A21)/8</f>
        <v>132.05875</v>
      </c>
      <c r="B21">
        <f>ABS(A21-obs!A21)</f>
        <v>337.84124389648434</v>
      </c>
    </row>
    <row r="22" spans="1:2" x14ac:dyDescent="0.25">
      <c r="A22">
        <f>('01.hydrol1dep1'!A22+'02.hydrol1dep2'!A22+'03.hydrol1dep3'!A22+'04.hydrol1dep4'!A22+'05.hydrol2dep1'!A22+'06.hydrol2dep2'!A22+'07.hydrol2dep3'!A22+'08.hydrol2dep4'!A22)/8</f>
        <v>126.64749999999999</v>
      </c>
      <c r="B22">
        <f>ABS(A22-obs!A22)</f>
        <v>161.95250610351565</v>
      </c>
    </row>
    <row r="23" spans="1:2" x14ac:dyDescent="0.25">
      <c r="A23">
        <f>('01.hydrol1dep1'!A23+'02.hydrol1dep2'!A23+'03.hydrol1dep3'!A23+'04.hydrol1dep4'!A23+'05.hydrol2dep1'!A23+'06.hydrol2dep2'!A23+'07.hydrol2dep3'!A23+'08.hydrol2dep4'!A23)/8</f>
        <v>189.93874999999997</v>
      </c>
      <c r="B23">
        <f>ABS(A23-obs!A23)</f>
        <v>108.53874847412106</v>
      </c>
    </row>
    <row r="24" spans="1:2" x14ac:dyDescent="0.25">
      <c r="A24">
        <f>('01.hydrol1dep1'!A24+'02.hydrol1dep2'!A24+'03.hydrol1dep3'!A24+'04.hydrol1dep4'!A24+'05.hydrol2dep1'!A24+'06.hydrol2dep2'!A24+'07.hydrol2dep3'!A24+'08.hydrol2dep4'!A24)/8</f>
        <v>196.46499999999997</v>
      </c>
      <c r="B24">
        <f>ABS(A24-obs!A24)</f>
        <v>140.96499999999997</v>
      </c>
    </row>
    <row r="25" spans="1:2" x14ac:dyDescent="0.25">
      <c r="A25">
        <f>('01.hydrol1dep1'!A25+'02.hydrol1dep2'!A25+'03.hydrol1dep3'!A25+'04.hydrol1dep4'!A25+'05.hydrol2dep1'!A25+'06.hydrol2dep2'!A25+'07.hydrol2dep3'!A25+'08.hydrol2dep4'!A25)/8</f>
        <v>194.08250000000001</v>
      </c>
      <c r="B25">
        <f>ABS(A25-obs!A25)</f>
        <v>157.08250000000001</v>
      </c>
    </row>
    <row r="26" spans="1:2" x14ac:dyDescent="0.25">
      <c r="A26">
        <f>('01.hydrol1dep1'!A26+'02.hydrol1dep2'!A26+'03.hydrol1dep3'!A26+'04.hydrol1dep4'!A26+'05.hydrol2dep1'!A26+'06.hydrol2dep2'!A26+'07.hydrol2dep3'!A26+'08.hydrol2dep4'!A26)/8</f>
        <v>186.28</v>
      </c>
      <c r="B26">
        <f>ABS(A26-obs!A26)</f>
        <v>115.97999694824219</v>
      </c>
    </row>
    <row r="27" spans="1:2" x14ac:dyDescent="0.25">
      <c r="A27">
        <f>('01.hydrol1dep1'!A27+'02.hydrol1dep2'!A27+'03.hydrol1dep3'!A27+'04.hydrol1dep4'!A27+'05.hydrol2dep1'!A27+'06.hydrol2dep2'!A27+'07.hydrol2dep3'!A27+'08.hydrol2dep4'!A27)/8</f>
        <v>208.00000000000003</v>
      </c>
      <c r="B27">
        <f>ABS(A27-obs!A27)</f>
        <v>139.55000305175784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Лист1</vt:lpstr>
      <vt:lpstr>obs</vt:lpstr>
      <vt:lpstr>01.hydrol1dep1</vt:lpstr>
      <vt:lpstr>02.hydrol1dep2</vt:lpstr>
      <vt:lpstr>03.hydrol1dep3</vt:lpstr>
      <vt:lpstr>04.hydrol1dep4</vt:lpstr>
      <vt:lpstr>05.hydrol2dep1</vt:lpstr>
      <vt:lpstr>06.hydrol2dep2</vt:lpstr>
      <vt:lpstr>07.hydrol2dep3</vt:lpstr>
      <vt:lpstr>08.hydrol2dep4</vt:lpstr>
      <vt:lpstr>Ens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2025-07-26T08:35:39Z</dcterms:created>
  <dcterms:modified xsi:type="dcterms:W3CDTF">2025-07-28T11:03:19Z</dcterms:modified>
</cp:coreProperties>
</file>