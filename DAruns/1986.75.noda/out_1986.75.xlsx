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ik\WORK\2024_NFD\DAwork\DAruns.02(24EnsMemb)\matlab.noda\"/>
    </mc:Choice>
  </mc:AlternateContent>
  <bookViews>
    <workbookView xWindow="0" yWindow="0" windowWidth="28800" windowHeight="14565" firstSheet="10" activeTab="10"/>
  </bookViews>
  <sheets>
    <sheet name="Лист1" sheetId="1" r:id="rId1"/>
    <sheet name="obs" sheetId="2" r:id="rId2"/>
    <sheet name="01.hydrol1dep1" sheetId="3" r:id="rId3"/>
    <sheet name="02.hydrol1dep2" sheetId="4" r:id="rId4"/>
    <sheet name="03.hydrol1dep3" sheetId="5" r:id="rId5"/>
    <sheet name="04.hydrol1dep4" sheetId="6" r:id="rId6"/>
    <sheet name="05.hydrol2dep1" sheetId="7" r:id="rId7"/>
    <sheet name="06.hydrol2dep2" sheetId="8" r:id="rId8"/>
    <sheet name="07.hydrol2dep3" sheetId="9" r:id="rId9"/>
    <sheet name="08.hydrol2dep4" sheetId="10" r:id="rId10"/>
    <sheet name="Ens" sheetId="11" r:id="rId11"/>
    <sheet name="09.hydrol3dep1" sheetId="12" r:id="rId12"/>
    <sheet name="10.hydrol3dep2" sheetId="13" r:id="rId13"/>
    <sheet name="11.hydrol3dep3" sheetId="14" r:id="rId14"/>
    <sheet name="12.hydrol3dep4" sheetId="15" r:id="rId15"/>
    <sheet name="13.hydrol4dep1" sheetId="16" r:id="rId16"/>
    <sheet name="14.hydrol4dep2" sheetId="17" r:id="rId17"/>
    <sheet name="15.hydrol4dep3" sheetId="18" r:id="rId18"/>
    <sheet name="16.hydrol4dep4" sheetId="19" r:id="rId19"/>
    <sheet name="17.hydrol5dep1" sheetId="20" r:id="rId20"/>
    <sheet name="18.hydrol5dep2" sheetId="21" r:id="rId21"/>
    <sheet name="19.hydrol5dep3" sheetId="22" r:id="rId22"/>
    <sheet name="20.hydrol5dep4" sheetId="23" r:id="rId23"/>
    <sheet name="21.hydrol6dep1" sheetId="24" r:id="rId24"/>
    <sheet name="22.hydrol6dep2" sheetId="25" r:id="rId25"/>
    <sheet name="23.hydrol6dep3" sheetId="26" r:id="rId26"/>
    <sheet name="24.hydrol6dep4" sheetId="27" r:id="rId2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  <c r="D1" i="10" l="1"/>
  <c r="D1" i="9"/>
  <c r="D1" i="8"/>
  <c r="D1" i="7"/>
  <c r="D1" i="6"/>
  <c r="D1" i="5"/>
  <c r="D1" i="4"/>
  <c r="D1" i="3"/>
  <c r="B2" i="11" l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E1" i="11" l="1"/>
  <c r="F1" i="11" s="1"/>
  <c r="D1" i="11"/>
  <c r="B1" i="11"/>
  <c r="C1" i="11" s="1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E1" i="10"/>
  <c r="B1" i="10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E1" i="9"/>
  <c r="B1" i="9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E1" i="8"/>
  <c r="B1" i="8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E1" i="7"/>
  <c r="B1" i="7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E1" i="6"/>
  <c r="B1" i="6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E1" i="5"/>
  <c r="B1" i="5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E1" i="4"/>
  <c r="B1" i="4"/>
  <c r="E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1" i="3"/>
  <c r="C1" i="9" l="1"/>
  <c r="C1" i="8"/>
  <c r="C1" i="7"/>
  <c r="C1" i="5"/>
  <c r="C1" i="10"/>
  <c r="C1" i="4"/>
  <c r="C1" i="6"/>
  <c r="C1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sqref="A1:B23"/>
    </sheetView>
  </sheetViews>
  <sheetFormatPr defaultRowHeight="15" x14ac:dyDescent="0.25"/>
  <sheetData>
    <row r="1" spans="1:3" x14ac:dyDescent="0.25">
      <c r="A1">
        <v>159</v>
      </c>
      <c r="B1">
        <v>4</v>
      </c>
      <c r="C1">
        <f>AVERAGE(A:A)</f>
        <v>132.81159409232762</v>
      </c>
    </row>
    <row r="2" spans="1:3" x14ac:dyDescent="0.25">
      <c r="A2">
        <v>155.5</v>
      </c>
      <c r="B2">
        <v>6</v>
      </c>
    </row>
    <row r="3" spans="1:3" x14ac:dyDescent="0.25">
      <c r="A3">
        <v>144</v>
      </c>
      <c r="B3">
        <v>8</v>
      </c>
    </row>
    <row r="4" spans="1:3" x14ac:dyDescent="0.25">
      <c r="A4">
        <v>107</v>
      </c>
      <c r="B4">
        <v>11</v>
      </c>
    </row>
    <row r="5" spans="1:3" x14ac:dyDescent="0.25">
      <c r="A5">
        <v>93</v>
      </c>
      <c r="B5">
        <v>13</v>
      </c>
    </row>
    <row r="6" spans="1:3" x14ac:dyDescent="0.25">
      <c r="A6">
        <v>117</v>
      </c>
      <c r="B6">
        <v>17</v>
      </c>
    </row>
    <row r="7" spans="1:3" x14ac:dyDescent="0.25">
      <c r="A7">
        <v>117</v>
      </c>
      <c r="B7">
        <v>18</v>
      </c>
    </row>
    <row r="8" spans="1:3" x14ac:dyDescent="0.25">
      <c r="A8">
        <v>128.5</v>
      </c>
      <c r="B8">
        <v>20</v>
      </c>
    </row>
    <row r="9" spans="1:3" x14ac:dyDescent="0.25">
      <c r="A9">
        <v>142</v>
      </c>
      <c r="B9">
        <v>21</v>
      </c>
    </row>
    <row r="10" spans="1:3" x14ac:dyDescent="0.25">
      <c r="A10">
        <v>127</v>
      </c>
      <c r="B10">
        <v>22</v>
      </c>
    </row>
    <row r="11" spans="1:3" x14ac:dyDescent="0.25">
      <c r="A11">
        <v>119</v>
      </c>
      <c r="B11">
        <v>26</v>
      </c>
    </row>
    <row r="12" spans="1:3" x14ac:dyDescent="0.25">
      <c r="A12">
        <v>106</v>
      </c>
      <c r="B12">
        <v>28</v>
      </c>
    </row>
    <row r="13" spans="1:3" x14ac:dyDescent="0.25">
      <c r="A13">
        <v>140</v>
      </c>
      <c r="B13">
        <v>30</v>
      </c>
    </row>
    <row r="14" spans="1:3" x14ac:dyDescent="0.25">
      <c r="A14">
        <v>254</v>
      </c>
      <c r="B14">
        <v>32</v>
      </c>
    </row>
    <row r="15" spans="1:3" x14ac:dyDescent="0.25">
      <c r="A15">
        <v>157</v>
      </c>
      <c r="B15">
        <v>33</v>
      </c>
    </row>
    <row r="16" spans="1:3" x14ac:dyDescent="0.25">
      <c r="A16">
        <v>169</v>
      </c>
      <c r="B16">
        <v>39</v>
      </c>
    </row>
    <row r="17" spans="1:2" x14ac:dyDescent="0.25">
      <c r="A17">
        <v>195</v>
      </c>
      <c r="B17">
        <v>40</v>
      </c>
    </row>
    <row r="18" spans="1:2" x14ac:dyDescent="0.25">
      <c r="A18">
        <v>114</v>
      </c>
      <c r="B18">
        <v>42</v>
      </c>
    </row>
    <row r="19" spans="1:2" x14ac:dyDescent="0.25">
      <c r="A19">
        <v>97</v>
      </c>
      <c r="B19">
        <v>43</v>
      </c>
    </row>
    <row r="20" spans="1:2" x14ac:dyDescent="0.25">
      <c r="A20">
        <v>135</v>
      </c>
      <c r="B20">
        <v>44</v>
      </c>
    </row>
    <row r="21" spans="1:2" x14ac:dyDescent="0.25">
      <c r="A21">
        <v>126</v>
      </c>
      <c r="B21">
        <v>45</v>
      </c>
    </row>
    <row r="22" spans="1:2" x14ac:dyDescent="0.25">
      <c r="A22">
        <v>84</v>
      </c>
      <c r="B22">
        <v>47</v>
      </c>
    </row>
    <row r="23" spans="1:2" x14ac:dyDescent="0.25">
      <c r="A23">
        <v>68.666664123535156</v>
      </c>
      <c r="B23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232.3</v>
      </c>
      <c r="B1">
        <f>ABS(A1-obs!A1)</f>
        <v>73.300000000000011</v>
      </c>
      <c r="C1">
        <f>AVERAGE(B:B)</f>
        <v>56.8884059076724</v>
      </c>
      <c r="D1">
        <f>CORREL(A1:A23,obs!A1:A23)</f>
        <v>0.28673765527780187</v>
      </c>
      <c r="E1">
        <f>AVERAGE(A:A)</f>
        <v>184.94347826086957</v>
      </c>
    </row>
    <row r="2" spans="1:5" x14ac:dyDescent="0.25">
      <c r="A2">
        <v>234.7</v>
      </c>
      <c r="B2">
        <f>ABS(A2-obs!A2)</f>
        <v>79.199999999999989</v>
      </c>
    </row>
    <row r="3" spans="1:5" x14ac:dyDescent="0.25">
      <c r="A3">
        <v>234.3</v>
      </c>
      <c r="B3">
        <f>ABS(A3-obs!A3)</f>
        <v>90.300000000000011</v>
      </c>
    </row>
    <row r="4" spans="1:5" x14ac:dyDescent="0.25">
      <c r="A4">
        <v>225.9</v>
      </c>
      <c r="B4">
        <f>ABS(A4-obs!A4)</f>
        <v>118.9</v>
      </c>
    </row>
    <row r="5" spans="1:5" x14ac:dyDescent="0.25">
      <c r="A5">
        <v>206.7</v>
      </c>
      <c r="B5">
        <f>ABS(A5-obs!A5)</f>
        <v>113.69999999999999</v>
      </c>
    </row>
    <row r="6" spans="1:5" x14ac:dyDescent="0.25">
      <c r="A6">
        <v>164</v>
      </c>
      <c r="B6">
        <f>ABS(A6-obs!A6)</f>
        <v>47</v>
      </c>
    </row>
    <row r="7" spans="1:5" x14ac:dyDescent="0.25">
      <c r="A7">
        <v>154.9</v>
      </c>
      <c r="B7">
        <f>ABS(A7-obs!A7)</f>
        <v>37.900000000000006</v>
      </c>
    </row>
    <row r="8" spans="1:5" x14ac:dyDescent="0.25">
      <c r="A8">
        <v>145.5</v>
      </c>
      <c r="B8">
        <f>ABS(A8-obs!A8)</f>
        <v>17</v>
      </c>
    </row>
    <row r="9" spans="1:5" x14ac:dyDescent="0.25">
      <c r="A9">
        <v>140.69999999999999</v>
      </c>
      <c r="B9">
        <f>ABS(A9-obs!A9)</f>
        <v>1.3000000000000114</v>
      </c>
    </row>
    <row r="10" spans="1:5" x14ac:dyDescent="0.25">
      <c r="A10">
        <v>141.4</v>
      </c>
      <c r="B10">
        <f>ABS(A10-obs!A10)</f>
        <v>14.400000000000006</v>
      </c>
    </row>
    <row r="11" spans="1:5" x14ac:dyDescent="0.25">
      <c r="A11">
        <v>179.4</v>
      </c>
      <c r="B11">
        <f>ABS(A11-obs!A11)</f>
        <v>60.400000000000006</v>
      </c>
    </row>
    <row r="12" spans="1:5" x14ac:dyDescent="0.25">
      <c r="A12">
        <v>201.6</v>
      </c>
      <c r="B12">
        <f>ABS(A12-obs!A12)</f>
        <v>95.6</v>
      </c>
    </row>
    <row r="13" spans="1:5" x14ac:dyDescent="0.25">
      <c r="A13">
        <v>219.8</v>
      </c>
      <c r="B13">
        <f>ABS(A13-obs!A13)</f>
        <v>79.800000000000011</v>
      </c>
    </row>
    <row r="14" spans="1:5" x14ac:dyDescent="0.25">
      <c r="A14">
        <v>230</v>
      </c>
      <c r="B14">
        <f>ABS(A14-obs!A14)</f>
        <v>24</v>
      </c>
    </row>
    <row r="15" spans="1:5" x14ac:dyDescent="0.25">
      <c r="A15">
        <v>230.6</v>
      </c>
      <c r="B15">
        <f>ABS(A15-obs!A15)</f>
        <v>73.599999999999994</v>
      </c>
    </row>
    <row r="16" spans="1:5" x14ac:dyDescent="0.25">
      <c r="A16">
        <v>188</v>
      </c>
      <c r="B16">
        <f>ABS(A16-obs!A16)</f>
        <v>19</v>
      </c>
    </row>
    <row r="17" spans="1:2" x14ac:dyDescent="0.25">
      <c r="A17">
        <v>171.5</v>
      </c>
      <c r="B17">
        <f>ABS(A17-obs!A17)</f>
        <v>23.5</v>
      </c>
    </row>
    <row r="18" spans="1:2" x14ac:dyDescent="0.25">
      <c r="A18">
        <v>153.6</v>
      </c>
      <c r="B18">
        <f>ABS(A18-obs!A18)</f>
        <v>39.599999999999994</v>
      </c>
    </row>
    <row r="19" spans="1:2" x14ac:dyDescent="0.25">
      <c r="A19">
        <v>149.80000000000001</v>
      </c>
      <c r="B19">
        <f>ABS(A19-obs!A19)</f>
        <v>52.800000000000011</v>
      </c>
    </row>
    <row r="20" spans="1:2" x14ac:dyDescent="0.25">
      <c r="A20">
        <v>129.1</v>
      </c>
      <c r="B20">
        <f>ABS(A20-obs!A20)</f>
        <v>5.9000000000000057</v>
      </c>
    </row>
    <row r="21" spans="1:2" x14ac:dyDescent="0.25">
      <c r="A21">
        <v>137.69999999999999</v>
      </c>
      <c r="B21">
        <f>ABS(A21-obs!A21)</f>
        <v>11.699999999999989</v>
      </c>
    </row>
    <row r="22" spans="1:2" x14ac:dyDescent="0.25">
      <c r="A22">
        <v>226.4</v>
      </c>
      <c r="B22">
        <f>ABS(A22-obs!A22)</f>
        <v>142.4</v>
      </c>
    </row>
    <row r="23" spans="1:2" x14ac:dyDescent="0.25">
      <c r="A23">
        <v>155.80000000000001</v>
      </c>
      <c r="B23">
        <f>ABS(A23-obs!A23)</f>
        <v>87.133335876464855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164.1</v>
      </c>
      <c r="B1">
        <f>ABS(A1-obs!A1)</f>
        <v>5.0999999999999943</v>
      </c>
      <c r="C1">
        <f>AVERAGE(B:B)</f>
        <v>46.546231994628904</v>
      </c>
      <c r="D1">
        <f>CORREL(A1:A23,obs!A1:A23)</f>
        <v>0.17820173656128552</v>
      </c>
      <c r="E1">
        <f>AVERAGE(A:A)</f>
        <v>161.94478260869568</v>
      </c>
    </row>
    <row r="2" spans="1:5" x14ac:dyDescent="0.25">
      <c r="A2">
        <v>165.8</v>
      </c>
      <c r="B2">
        <f>ABS(A2-obs!A2)</f>
        <v>10.300000000000011</v>
      </c>
    </row>
    <row r="3" spans="1:5" x14ac:dyDescent="0.25">
      <c r="A3">
        <v>169.3</v>
      </c>
      <c r="B3">
        <f>ABS(A3-obs!A3)</f>
        <v>25.300000000000011</v>
      </c>
    </row>
    <row r="4" spans="1:5" x14ac:dyDescent="0.25">
      <c r="A4">
        <v>173.8</v>
      </c>
      <c r="B4">
        <f>ABS(A4-obs!A4)</f>
        <v>66.800000000000011</v>
      </c>
    </row>
    <row r="5" spans="1:5" x14ac:dyDescent="0.25">
      <c r="A5">
        <v>181.3</v>
      </c>
      <c r="B5">
        <f>ABS(A5-obs!A5)</f>
        <v>88.300000000000011</v>
      </c>
    </row>
    <row r="6" spans="1:5" x14ac:dyDescent="0.25">
      <c r="A6">
        <v>188.2</v>
      </c>
      <c r="B6">
        <f>ABS(A6-obs!A6)</f>
        <v>71.199999999999989</v>
      </c>
    </row>
    <row r="7" spans="1:5" x14ac:dyDescent="0.25">
      <c r="A7">
        <v>184.5</v>
      </c>
      <c r="B7">
        <f>ABS(A7-obs!A7)</f>
        <v>67.5</v>
      </c>
    </row>
    <row r="8" spans="1:5" x14ac:dyDescent="0.25">
      <c r="A8">
        <v>182.7</v>
      </c>
      <c r="B8">
        <f>ABS(A8-obs!A8)</f>
        <v>54.199999999999989</v>
      </c>
    </row>
    <row r="9" spans="1:5" x14ac:dyDescent="0.25">
      <c r="A9">
        <v>180.3</v>
      </c>
      <c r="B9">
        <f>ABS(A9-obs!A9)</f>
        <v>38.300000000000011</v>
      </c>
    </row>
    <row r="10" spans="1:5" x14ac:dyDescent="0.25">
      <c r="A10">
        <v>179.2</v>
      </c>
      <c r="B10">
        <f>ABS(A10-obs!A10)</f>
        <v>52.199999999999989</v>
      </c>
    </row>
    <row r="11" spans="1:5" x14ac:dyDescent="0.25">
      <c r="A11">
        <v>181.2</v>
      </c>
      <c r="B11">
        <f>ABS(A11-obs!A11)</f>
        <v>62.199999999999989</v>
      </c>
    </row>
    <row r="12" spans="1:5" x14ac:dyDescent="0.25">
      <c r="A12">
        <v>176</v>
      </c>
      <c r="B12">
        <f>ABS(A12-obs!A12)</f>
        <v>70</v>
      </c>
    </row>
    <row r="13" spans="1:5" x14ac:dyDescent="0.25">
      <c r="A13">
        <v>169.9</v>
      </c>
      <c r="B13">
        <f>ABS(A13-obs!A13)</f>
        <v>29.900000000000006</v>
      </c>
    </row>
    <row r="14" spans="1:5" x14ac:dyDescent="0.25">
      <c r="A14">
        <v>164.5</v>
      </c>
      <c r="B14">
        <f>ABS(A14-obs!A14)</f>
        <v>89.5</v>
      </c>
    </row>
    <row r="15" spans="1:5" x14ac:dyDescent="0.25">
      <c r="A15">
        <v>163.5</v>
      </c>
      <c r="B15">
        <f>ABS(A15-obs!A15)</f>
        <v>6.5</v>
      </c>
    </row>
    <row r="16" spans="1:5" x14ac:dyDescent="0.25">
      <c r="A16">
        <v>172.5</v>
      </c>
      <c r="B16">
        <f>ABS(A16-obs!A16)</f>
        <v>3.5</v>
      </c>
    </row>
    <row r="17" spans="1:2" x14ac:dyDescent="0.25">
      <c r="A17">
        <v>178.6</v>
      </c>
      <c r="B17">
        <f>ABS(A17-obs!A17)</f>
        <v>16.400000000000006</v>
      </c>
    </row>
    <row r="18" spans="1:2" x14ac:dyDescent="0.25">
      <c r="A18">
        <v>180.8</v>
      </c>
      <c r="B18">
        <f>ABS(A18-obs!A18)</f>
        <v>66.800000000000011</v>
      </c>
    </row>
    <row r="19" spans="1:2" x14ac:dyDescent="0.25">
      <c r="A19">
        <v>180.1</v>
      </c>
      <c r="B19">
        <f>ABS(A19-obs!A19)</f>
        <v>83.1</v>
      </c>
    </row>
    <row r="20" spans="1:2" x14ac:dyDescent="0.25">
      <c r="A20">
        <v>82.3</v>
      </c>
      <c r="B20">
        <f>ABS(A20-obs!A20)</f>
        <v>52.7</v>
      </c>
    </row>
    <row r="21" spans="1:2" x14ac:dyDescent="0.25">
      <c r="A21">
        <v>84.35</v>
      </c>
      <c r="B21">
        <f>ABS(A21-obs!A21)</f>
        <v>41.650000000000006</v>
      </c>
    </row>
    <row r="22" spans="1:2" x14ac:dyDescent="0.25">
      <c r="A22">
        <v>131.5</v>
      </c>
      <c r="B22">
        <f>ABS(A22-obs!A22)</f>
        <v>47.5</v>
      </c>
    </row>
    <row r="23" spans="1:2" x14ac:dyDescent="0.25">
      <c r="A23">
        <v>90.28</v>
      </c>
      <c r="B23">
        <f>ABS(A23-obs!A23)</f>
        <v>21.613335876464845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178.2</v>
      </c>
      <c r="B1">
        <f>ABS(A1-obs!A1)</f>
        <v>19.199999999999989</v>
      </c>
      <c r="C1">
        <f>AVERAGE(B:B)</f>
        <v>33.071014603324556</v>
      </c>
      <c r="D1">
        <f>CORREL(A1:A23,obs!A1:A23)</f>
        <v>0.26102605854764033</v>
      </c>
      <c r="E1">
        <f>AVERAGE(A:A)</f>
        <v>136.85652173913041</v>
      </c>
    </row>
    <row r="2" spans="1:5" x14ac:dyDescent="0.25">
      <c r="A2">
        <v>177.5</v>
      </c>
      <c r="B2">
        <f>ABS(A2-obs!A2)</f>
        <v>22</v>
      </c>
    </row>
    <row r="3" spans="1:5" x14ac:dyDescent="0.25">
      <c r="A3">
        <v>177.6</v>
      </c>
      <c r="B3">
        <f>ABS(A3-obs!A3)</f>
        <v>33.599999999999994</v>
      </c>
    </row>
    <row r="4" spans="1:5" x14ac:dyDescent="0.25">
      <c r="A4">
        <v>170.2</v>
      </c>
      <c r="B4">
        <f>ABS(A4-obs!A4)</f>
        <v>63.199999999999989</v>
      </c>
    </row>
    <row r="5" spans="1:5" x14ac:dyDescent="0.25">
      <c r="A5">
        <v>153.19999999999999</v>
      </c>
      <c r="B5">
        <f>ABS(A5-obs!A5)</f>
        <v>60.199999999999989</v>
      </c>
    </row>
    <row r="6" spans="1:5" x14ac:dyDescent="0.25">
      <c r="A6">
        <v>120.7</v>
      </c>
      <c r="B6">
        <f>ABS(A6-obs!A6)</f>
        <v>3.7000000000000028</v>
      </c>
    </row>
    <row r="7" spans="1:5" x14ac:dyDescent="0.25">
      <c r="A7">
        <v>112.7</v>
      </c>
      <c r="B7">
        <f>ABS(A7-obs!A7)</f>
        <v>4.2999999999999972</v>
      </c>
    </row>
    <row r="8" spans="1:5" x14ac:dyDescent="0.25">
      <c r="A8">
        <v>106</v>
      </c>
      <c r="B8">
        <f>ABS(A8-obs!A8)</f>
        <v>22.5</v>
      </c>
    </row>
    <row r="9" spans="1:5" x14ac:dyDescent="0.25">
      <c r="A9">
        <v>101.7</v>
      </c>
      <c r="B9">
        <f>ABS(A9-obs!A9)</f>
        <v>40.299999999999997</v>
      </c>
    </row>
    <row r="10" spans="1:5" x14ac:dyDescent="0.25">
      <c r="A10">
        <v>101.3</v>
      </c>
      <c r="B10">
        <f>ABS(A10-obs!A10)</f>
        <v>25.700000000000003</v>
      </c>
    </row>
    <row r="11" spans="1:5" x14ac:dyDescent="0.25">
      <c r="A11">
        <v>129</v>
      </c>
      <c r="B11">
        <f>ABS(A11-obs!A11)</f>
        <v>10</v>
      </c>
    </row>
    <row r="12" spans="1:5" x14ac:dyDescent="0.25">
      <c r="A12">
        <v>143.9</v>
      </c>
      <c r="B12">
        <f>ABS(A12-obs!A12)</f>
        <v>37.900000000000006</v>
      </c>
    </row>
    <row r="13" spans="1:5" x14ac:dyDescent="0.25">
      <c r="A13">
        <v>157</v>
      </c>
      <c r="B13">
        <f>ABS(A13-obs!A13)</f>
        <v>17</v>
      </c>
    </row>
    <row r="14" spans="1:5" x14ac:dyDescent="0.25">
      <c r="A14">
        <v>170</v>
      </c>
      <c r="B14">
        <f>ABS(A14-obs!A14)</f>
        <v>84</v>
      </c>
    </row>
    <row r="15" spans="1:5" x14ac:dyDescent="0.25">
      <c r="A15">
        <v>172.3</v>
      </c>
      <c r="B15">
        <f>ABS(A15-obs!A15)</f>
        <v>15.300000000000011</v>
      </c>
    </row>
    <row r="16" spans="1:5" x14ac:dyDescent="0.25">
      <c r="A16">
        <v>130</v>
      </c>
      <c r="B16">
        <f>ABS(A16-obs!A16)</f>
        <v>39</v>
      </c>
    </row>
    <row r="17" spans="1:2" x14ac:dyDescent="0.25">
      <c r="A17">
        <v>121.2</v>
      </c>
      <c r="B17">
        <f>ABS(A17-obs!A17)</f>
        <v>73.8</v>
      </c>
    </row>
    <row r="18" spans="1:2" x14ac:dyDescent="0.25">
      <c r="A18">
        <v>113.2</v>
      </c>
      <c r="B18">
        <f>ABS(A18-obs!A18)</f>
        <v>0.79999999999999716</v>
      </c>
    </row>
    <row r="19" spans="1:2" x14ac:dyDescent="0.25">
      <c r="A19">
        <v>106.9</v>
      </c>
      <c r="B19">
        <f>ABS(A19-obs!A19)</f>
        <v>9.9000000000000057</v>
      </c>
    </row>
    <row r="20" spans="1:2" x14ac:dyDescent="0.25">
      <c r="A20">
        <v>105</v>
      </c>
      <c r="B20">
        <f>ABS(A20-obs!A20)</f>
        <v>30</v>
      </c>
    </row>
    <row r="21" spans="1:2" x14ac:dyDescent="0.25">
      <c r="A21">
        <v>112.6</v>
      </c>
      <c r="B21">
        <f>ABS(A21-obs!A21)</f>
        <v>13.400000000000006</v>
      </c>
    </row>
    <row r="22" spans="1:2" x14ac:dyDescent="0.25">
      <c r="A22">
        <v>152.5</v>
      </c>
      <c r="B22">
        <f>ABS(A22-obs!A22)</f>
        <v>68.5</v>
      </c>
    </row>
    <row r="23" spans="1:2" x14ac:dyDescent="0.25">
      <c r="A23">
        <v>135</v>
      </c>
      <c r="B23">
        <f>ABS(A23-obs!A23)</f>
        <v>66.333335876464844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129.6</v>
      </c>
      <c r="B1">
        <f>ABS(A1-obs!A1)</f>
        <v>29.400000000000006</v>
      </c>
      <c r="C1">
        <f>AVERAGE(B:B)</f>
        <v>30.616231994628908</v>
      </c>
      <c r="D1">
        <f>CORREL(A1:A23,obs!A1:A23)</f>
        <v>0.1994139542441129</v>
      </c>
      <c r="E1">
        <f>AVERAGE(A:A)</f>
        <v>117.28521739130433</v>
      </c>
    </row>
    <row r="2" spans="1:5" x14ac:dyDescent="0.25">
      <c r="A2">
        <v>130.4</v>
      </c>
      <c r="B2">
        <f>ABS(A2-obs!A2)</f>
        <v>25.099999999999994</v>
      </c>
    </row>
    <row r="3" spans="1:5" x14ac:dyDescent="0.25">
      <c r="A3">
        <v>131.6</v>
      </c>
      <c r="B3">
        <f>ABS(A3-obs!A3)</f>
        <v>12.400000000000006</v>
      </c>
    </row>
    <row r="4" spans="1:5" x14ac:dyDescent="0.25">
      <c r="A4">
        <v>130.19999999999999</v>
      </c>
      <c r="B4">
        <f>ABS(A4-obs!A4)</f>
        <v>23.199999999999989</v>
      </c>
    </row>
    <row r="5" spans="1:5" x14ac:dyDescent="0.25">
      <c r="A5">
        <v>125.6</v>
      </c>
      <c r="B5">
        <f>ABS(A5-obs!A5)</f>
        <v>32.599999999999994</v>
      </c>
    </row>
    <row r="6" spans="1:5" x14ac:dyDescent="0.25">
      <c r="A6">
        <v>116.1</v>
      </c>
      <c r="B6">
        <f>ABS(A6-obs!A6)</f>
        <v>0.90000000000000568</v>
      </c>
    </row>
    <row r="7" spans="1:5" x14ac:dyDescent="0.25">
      <c r="A7">
        <v>113.3</v>
      </c>
      <c r="B7">
        <f>ABS(A7-obs!A7)</f>
        <v>3.7000000000000028</v>
      </c>
    </row>
    <row r="8" spans="1:5" x14ac:dyDescent="0.25">
      <c r="A8">
        <v>111.2</v>
      </c>
      <c r="B8">
        <f>ABS(A8-obs!A8)</f>
        <v>17.299999999999997</v>
      </c>
    </row>
    <row r="9" spans="1:5" x14ac:dyDescent="0.25">
      <c r="A9">
        <v>109.6</v>
      </c>
      <c r="B9">
        <f>ABS(A9-obs!A9)</f>
        <v>32.400000000000006</v>
      </c>
    </row>
    <row r="10" spans="1:5" x14ac:dyDescent="0.25">
      <c r="A10">
        <v>109.3</v>
      </c>
      <c r="B10">
        <f>ABS(A10-obs!A10)</f>
        <v>17.700000000000003</v>
      </c>
    </row>
    <row r="11" spans="1:5" x14ac:dyDescent="0.25">
      <c r="A11">
        <v>119.3</v>
      </c>
      <c r="B11">
        <f>ABS(A11-obs!A11)</f>
        <v>0.29999999999999716</v>
      </c>
    </row>
    <row r="12" spans="1:5" x14ac:dyDescent="0.25">
      <c r="A12">
        <v>122.8</v>
      </c>
      <c r="B12">
        <f>ABS(A12-obs!A12)</f>
        <v>16.799999999999997</v>
      </c>
    </row>
    <row r="13" spans="1:5" x14ac:dyDescent="0.25">
      <c r="A13">
        <v>126</v>
      </c>
      <c r="B13">
        <f>ABS(A13-obs!A13)</f>
        <v>14</v>
      </c>
    </row>
    <row r="14" spans="1:5" x14ac:dyDescent="0.25">
      <c r="A14">
        <v>128.1</v>
      </c>
      <c r="B14">
        <f>ABS(A14-obs!A14)</f>
        <v>125.9</v>
      </c>
    </row>
    <row r="15" spans="1:5" x14ac:dyDescent="0.25">
      <c r="A15">
        <v>128.1</v>
      </c>
      <c r="B15">
        <f>ABS(A15-obs!A15)</f>
        <v>28.900000000000006</v>
      </c>
    </row>
    <row r="16" spans="1:5" x14ac:dyDescent="0.25">
      <c r="A16">
        <v>119.6</v>
      </c>
      <c r="B16">
        <f>ABS(A16-obs!A16)</f>
        <v>49.400000000000006</v>
      </c>
    </row>
    <row r="17" spans="1:2" x14ac:dyDescent="0.25">
      <c r="A17">
        <v>117.9</v>
      </c>
      <c r="B17">
        <f>ABS(A17-obs!A17)</f>
        <v>77.099999999999994</v>
      </c>
    </row>
    <row r="18" spans="1:2" x14ac:dyDescent="0.25">
      <c r="A18">
        <v>119.3</v>
      </c>
      <c r="B18">
        <f>ABS(A18-obs!A18)</f>
        <v>5.2999999999999972</v>
      </c>
    </row>
    <row r="19" spans="1:2" x14ac:dyDescent="0.25">
      <c r="A19">
        <v>112.1</v>
      </c>
      <c r="B19">
        <f>ABS(A19-obs!A19)</f>
        <v>15.099999999999994</v>
      </c>
    </row>
    <row r="20" spans="1:2" x14ac:dyDescent="0.25">
      <c r="A20">
        <v>79.23</v>
      </c>
      <c r="B20">
        <f>ABS(A20-obs!A20)</f>
        <v>55.769999999999996</v>
      </c>
    </row>
    <row r="21" spans="1:2" x14ac:dyDescent="0.25">
      <c r="A21">
        <v>85.33</v>
      </c>
      <c r="B21">
        <f>ABS(A21-obs!A21)</f>
        <v>40.67</v>
      </c>
    </row>
    <row r="22" spans="1:2" x14ac:dyDescent="0.25">
      <c r="A22">
        <v>129.80000000000001</v>
      </c>
      <c r="B22">
        <f>ABS(A22-obs!A22)</f>
        <v>45.800000000000011</v>
      </c>
    </row>
    <row r="23" spans="1:2" x14ac:dyDescent="0.25">
      <c r="A23">
        <v>103.1</v>
      </c>
      <c r="B23">
        <f>ABS(A23-obs!A23)</f>
        <v>34.433335876464838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226.5</v>
      </c>
      <c r="B1">
        <f>ABS(A1-obs!A1)</f>
        <v>67.5</v>
      </c>
      <c r="C1">
        <f>AVERAGE(B:B)</f>
        <v>74.718840690281084</v>
      </c>
      <c r="D1">
        <f>CORREL(A1:A23,obs!A1:A23)</f>
        <v>-5.5664113475677256E-2</v>
      </c>
      <c r="E1">
        <f>AVERAGE(A:A)</f>
        <v>201.86086956521737</v>
      </c>
    </row>
    <row r="2" spans="1:5" x14ac:dyDescent="0.25">
      <c r="A2">
        <v>223.7</v>
      </c>
      <c r="B2">
        <f>ABS(A2-obs!A2)</f>
        <v>68.199999999999989</v>
      </c>
    </row>
    <row r="3" spans="1:5" x14ac:dyDescent="0.25">
      <c r="A3">
        <v>217.3</v>
      </c>
      <c r="B3">
        <f>ABS(A3-obs!A3)</f>
        <v>73.300000000000011</v>
      </c>
    </row>
    <row r="4" spans="1:5" x14ac:dyDescent="0.25">
      <c r="A4">
        <v>221.8</v>
      </c>
      <c r="B4">
        <f>ABS(A4-obs!A4)</f>
        <v>114.80000000000001</v>
      </c>
    </row>
    <row r="5" spans="1:5" x14ac:dyDescent="0.25">
      <c r="A5">
        <v>210</v>
      </c>
      <c r="B5">
        <f>ABS(A5-obs!A5)</f>
        <v>117</v>
      </c>
    </row>
    <row r="6" spans="1:5" x14ac:dyDescent="0.25">
      <c r="A6">
        <v>199.5</v>
      </c>
      <c r="B6">
        <f>ABS(A6-obs!A6)</f>
        <v>82.5</v>
      </c>
    </row>
    <row r="7" spans="1:5" x14ac:dyDescent="0.25">
      <c r="A7">
        <v>189.4</v>
      </c>
      <c r="B7">
        <f>ABS(A7-obs!A7)</f>
        <v>72.400000000000006</v>
      </c>
    </row>
    <row r="8" spans="1:5" x14ac:dyDescent="0.25">
      <c r="A8">
        <v>189.7</v>
      </c>
      <c r="B8">
        <f>ABS(A8-obs!A8)</f>
        <v>61.199999999999989</v>
      </c>
    </row>
    <row r="9" spans="1:5" x14ac:dyDescent="0.25">
      <c r="A9">
        <v>184.7</v>
      </c>
      <c r="B9">
        <f>ABS(A9-obs!A9)</f>
        <v>42.699999999999989</v>
      </c>
    </row>
    <row r="10" spans="1:5" x14ac:dyDescent="0.25">
      <c r="A10">
        <v>182.7</v>
      </c>
      <c r="B10">
        <f>ABS(A10-obs!A10)</f>
        <v>55.699999999999989</v>
      </c>
    </row>
    <row r="11" spans="1:5" x14ac:dyDescent="0.25">
      <c r="A11">
        <v>180.7</v>
      </c>
      <c r="B11">
        <f>ABS(A11-obs!A11)</f>
        <v>61.699999999999989</v>
      </c>
    </row>
    <row r="12" spans="1:5" x14ac:dyDescent="0.25">
      <c r="A12">
        <v>191.8</v>
      </c>
      <c r="B12">
        <f>ABS(A12-obs!A12)</f>
        <v>85.800000000000011</v>
      </c>
    </row>
    <row r="13" spans="1:5" x14ac:dyDescent="0.25">
      <c r="A13">
        <v>199.6</v>
      </c>
      <c r="B13">
        <f>ABS(A13-obs!A13)</f>
        <v>59.599999999999994</v>
      </c>
    </row>
    <row r="14" spans="1:5" x14ac:dyDescent="0.25">
      <c r="A14">
        <v>211.9</v>
      </c>
      <c r="B14">
        <f>ABS(A14-obs!A14)</f>
        <v>42.099999999999994</v>
      </c>
    </row>
    <row r="15" spans="1:5" x14ac:dyDescent="0.25">
      <c r="A15">
        <v>219.7</v>
      </c>
      <c r="B15">
        <f>ABS(A15-obs!A15)</f>
        <v>62.699999999999989</v>
      </c>
    </row>
    <row r="16" spans="1:5" x14ac:dyDescent="0.25">
      <c r="A16">
        <v>184.3</v>
      </c>
      <c r="B16">
        <f>ABS(A16-obs!A16)</f>
        <v>15.300000000000011</v>
      </c>
    </row>
    <row r="17" spans="1:2" x14ac:dyDescent="0.25">
      <c r="A17">
        <v>171.9</v>
      </c>
      <c r="B17">
        <f>ABS(A17-obs!A17)</f>
        <v>23.099999999999994</v>
      </c>
    </row>
    <row r="18" spans="1:2" x14ac:dyDescent="0.25">
      <c r="A18">
        <v>171.6</v>
      </c>
      <c r="B18">
        <f>ABS(A18-obs!A18)</f>
        <v>57.599999999999994</v>
      </c>
    </row>
    <row r="19" spans="1:2" x14ac:dyDescent="0.25">
      <c r="A19">
        <v>175.2</v>
      </c>
      <c r="B19">
        <f>ABS(A19-obs!A19)</f>
        <v>78.199999999999989</v>
      </c>
    </row>
    <row r="20" spans="1:2" x14ac:dyDescent="0.25">
      <c r="A20">
        <v>213.7</v>
      </c>
      <c r="B20">
        <f>ABS(A20-obs!A20)</f>
        <v>78.699999999999989</v>
      </c>
    </row>
    <row r="21" spans="1:2" x14ac:dyDescent="0.25">
      <c r="A21">
        <v>227.4</v>
      </c>
      <c r="B21">
        <f>ABS(A21-obs!A21)</f>
        <v>101.4</v>
      </c>
    </row>
    <row r="22" spans="1:2" x14ac:dyDescent="0.25">
      <c r="A22">
        <v>215.9</v>
      </c>
      <c r="B22">
        <f>ABS(A22-obs!A22)</f>
        <v>131.9</v>
      </c>
    </row>
    <row r="23" spans="1:2" x14ac:dyDescent="0.25">
      <c r="A23">
        <v>233.8</v>
      </c>
      <c r="B23">
        <f>ABS(A23-obs!A23)</f>
        <v>165.13333587646486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161.4</v>
      </c>
      <c r="B1">
        <f>ABS(A1-obs!A1)</f>
        <v>2.4000000000000057</v>
      </c>
      <c r="C1">
        <f>AVERAGE(B:B)</f>
        <v>49.466666777237606</v>
      </c>
      <c r="D1">
        <f>CORREL(A1:A23,obs!A1:A23)</f>
        <v>1.6255697349606003E-2</v>
      </c>
      <c r="E1">
        <f>AVERAGE(A:A)</f>
        <v>174.37391304347827</v>
      </c>
    </row>
    <row r="2" spans="1:5" x14ac:dyDescent="0.25">
      <c r="A2">
        <v>161.6</v>
      </c>
      <c r="B2">
        <f>ABS(A2-obs!A2)</f>
        <v>6.0999999999999943</v>
      </c>
    </row>
    <row r="3" spans="1:5" x14ac:dyDescent="0.25">
      <c r="A3">
        <v>165</v>
      </c>
      <c r="B3">
        <f>ABS(A3-obs!A3)</f>
        <v>21</v>
      </c>
    </row>
    <row r="4" spans="1:5" x14ac:dyDescent="0.25">
      <c r="A4">
        <v>166.3</v>
      </c>
      <c r="B4">
        <f>ABS(A4-obs!A4)</f>
        <v>59.300000000000011</v>
      </c>
    </row>
    <row r="5" spans="1:5" x14ac:dyDescent="0.25">
      <c r="A5">
        <v>174.1</v>
      </c>
      <c r="B5">
        <f>ABS(A5-obs!A5)</f>
        <v>81.099999999999994</v>
      </c>
    </row>
    <row r="6" spans="1:5" x14ac:dyDescent="0.25">
      <c r="A6">
        <v>181.5</v>
      </c>
      <c r="B6">
        <f>ABS(A6-obs!A6)</f>
        <v>64.5</v>
      </c>
    </row>
    <row r="7" spans="1:5" x14ac:dyDescent="0.25">
      <c r="A7">
        <v>187.6</v>
      </c>
      <c r="B7">
        <f>ABS(A7-obs!A7)</f>
        <v>70.599999999999994</v>
      </c>
    </row>
    <row r="8" spans="1:5" x14ac:dyDescent="0.25">
      <c r="A8">
        <v>187.9</v>
      </c>
      <c r="B8">
        <f>ABS(A8-obs!A8)</f>
        <v>59.400000000000006</v>
      </c>
    </row>
    <row r="9" spans="1:5" x14ac:dyDescent="0.25">
      <c r="A9">
        <v>191.1</v>
      </c>
      <c r="B9">
        <f>ABS(A9-obs!A9)</f>
        <v>49.099999999999994</v>
      </c>
    </row>
    <row r="10" spans="1:5" x14ac:dyDescent="0.25">
      <c r="A10">
        <v>192.2</v>
      </c>
      <c r="B10">
        <f>ABS(A10-obs!A10)</f>
        <v>65.199999999999989</v>
      </c>
    </row>
    <row r="11" spans="1:5" x14ac:dyDescent="0.25">
      <c r="A11">
        <v>189.4</v>
      </c>
      <c r="B11">
        <f>ABS(A11-obs!A11)</f>
        <v>70.400000000000006</v>
      </c>
    </row>
    <row r="12" spans="1:5" x14ac:dyDescent="0.25">
      <c r="A12">
        <v>181</v>
      </c>
      <c r="B12">
        <f>ABS(A12-obs!A12)</f>
        <v>75</v>
      </c>
    </row>
    <row r="13" spans="1:5" x14ac:dyDescent="0.25">
      <c r="A13">
        <v>173</v>
      </c>
      <c r="B13">
        <f>ABS(A13-obs!A13)</f>
        <v>33</v>
      </c>
    </row>
    <row r="14" spans="1:5" x14ac:dyDescent="0.25">
      <c r="A14">
        <v>164.5</v>
      </c>
      <c r="B14">
        <f>ABS(A14-obs!A14)</f>
        <v>89.5</v>
      </c>
    </row>
    <row r="15" spans="1:5" x14ac:dyDescent="0.25">
      <c r="A15">
        <v>161.69999999999999</v>
      </c>
      <c r="B15">
        <f>ABS(A15-obs!A15)</f>
        <v>4.6999999999999886</v>
      </c>
    </row>
    <row r="16" spans="1:5" x14ac:dyDescent="0.25">
      <c r="A16">
        <v>183.2</v>
      </c>
      <c r="B16">
        <f>ABS(A16-obs!A16)</f>
        <v>14.199999999999989</v>
      </c>
    </row>
    <row r="17" spans="1:2" x14ac:dyDescent="0.25">
      <c r="A17">
        <v>193.6</v>
      </c>
      <c r="B17">
        <f>ABS(A17-obs!A17)</f>
        <v>1.4000000000000057</v>
      </c>
    </row>
    <row r="18" spans="1:2" x14ac:dyDescent="0.25">
      <c r="A18">
        <v>196.4</v>
      </c>
      <c r="B18">
        <f>ABS(A18-obs!A18)</f>
        <v>82.4</v>
      </c>
    </row>
    <row r="19" spans="1:2" x14ac:dyDescent="0.25">
      <c r="A19">
        <v>195.2</v>
      </c>
      <c r="B19">
        <f>ABS(A19-obs!A19)</f>
        <v>98.199999999999989</v>
      </c>
    </row>
    <row r="20" spans="1:2" x14ac:dyDescent="0.25">
      <c r="A20">
        <v>146.5</v>
      </c>
      <c r="B20">
        <f>ABS(A20-obs!A20)</f>
        <v>11.5</v>
      </c>
    </row>
    <row r="21" spans="1:2" x14ac:dyDescent="0.25">
      <c r="A21">
        <v>152</v>
      </c>
      <c r="B21">
        <f>ABS(A21-obs!A21)</f>
        <v>26</v>
      </c>
    </row>
    <row r="22" spans="1:2" x14ac:dyDescent="0.25">
      <c r="A22">
        <v>157.5</v>
      </c>
      <c r="B22">
        <f>ABS(A22-obs!A22)</f>
        <v>73.5</v>
      </c>
    </row>
    <row r="23" spans="1:2" x14ac:dyDescent="0.25">
      <c r="A23">
        <v>147.9</v>
      </c>
      <c r="B23">
        <f>ABS(A23-obs!A23)</f>
        <v>79.233335876464849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164.5</v>
      </c>
      <c r="B1">
        <f>ABS(A1-obs!A1)</f>
        <v>5.5</v>
      </c>
      <c r="C1">
        <f>AVERAGE(B:B)</f>
        <v>36.52318851636803</v>
      </c>
      <c r="D1">
        <f>CORREL(A1:A23,obs!A1:A23)</f>
        <v>-0.16423065949151366</v>
      </c>
      <c r="E1">
        <f>AVERAGE(A:A)</f>
        <v>153.93478260869568</v>
      </c>
    </row>
    <row r="2" spans="1:5" x14ac:dyDescent="0.25">
      <c r="A2">
        <v>163</v>
      </c>
      <c r="B2">
        <f>ABS(A2-obs!A2)</f>
        <v>7.5</v>
      </c>
    </row>
    <row r="3" spans="1:5" x14ac:dyDescent="0.25">
      <c r="A3">
        <v>159.69999999999999</v>
      </c>
      <c r="B3">
        <f>ABS(A3-obs!A3)</f>
        <v>15.699999999999989</v>
      </c>
    </row>
    <row r="4" spans="1:5" x14ac:dyDescent="0.25">
      <c r="A4">
        <v>162.19999999999999</v>
      </c>
      <c r="B4">
        <f>ABS(A4-obs!A4)</f>
        <v>55.199999999999989</v>
      </c>
    </row>
    <row r="5" spans="1:5" x14ac:dyDescent="0.25">
      <c r="A5">
        <v>156.4</v>
      </c>
      <c r="B5">
        <f>ABS(A5-obs!A5)</f>
        <v>63.400000000000006</v>
      </c>
    </row>
    <row r="6" spans="1:5" x14ac:dyDescent="0.25">
      <c r="A6">
        <v>150.9</v>
      </c>
      <c r="B6">
        <f>ABS(A6-obs!A6)</f>
        <v>33.900000000000006</v>
      </c>
    </row>
    <row r="7" spans="1:5" x14ac:dyDescent="0.25">
      <c r="A7">
        <v>146</v>
      </c>
      <c r="B7">
        <f>ABS(A7-obs!A7)</f>
        <v>29</v>
      </c>
    </row>
    <row r="8" spans="1:5" x14ac:dyDescent="0.25">
      <c r="A8">
        <v>146.30000000000001</v>
      </c>
      <c r="B8">
        <f>ABS(A8-obs!A8)</f>
        <v>17.800000000000011</v>
      </c>
    </row>
    <row r="9" spans="1:5" x14ac:dyDescent="0.25">
      <c r="A9">
        <v>143.9</v>
      </c>
      <c r="B9">
        <f>ABS(A9-obs!A9)</f>
        <v>1.9000000000000057</v>
      </c>
    </row>
    <row r="10" spans="1:5" x14ac:dyDescent="0.25">
      <c r="A10">
        <v>143</v>
      </c>
      <c r="B10">
        <f>ABS(A10-obs!A10)</f>
        <v>16</v>
      </c>
    </row>
    <row r="11" spans="1:5" x14ac:dyDescent="0.25">
      <c r="A11">
        <v>142.30000000000001</v>
      </c>
      <c r="B11">
        <f>ABS(A11-obs!A11)</f>
        <v>23.300000000000011</v>
      </c>
    </row>
    <row r="12" spans="1:5" x14ac:dyDescent="0.25">
      <c r="A12">
        <v>147.4</v>
      </c>
      <c r="B12">
        <f>ABS(A12-obs!A12)</f>
        <v>41.400000000000006</v>
      </c>
    </row>
    <row r="13" spans="1:5" x14ac:dyDescent="0.25">
      <c r="A13">
        <v>151.19999999999999</v>
      </c>
      <c r="B13">
        <f>ABS(A13-obs!A13)</f>
        <v>11.199999999999989</v>
      </c>
    </row>
    <row r="14" spans="1:5" x14ac:dyDescent="0.25">
      <c r="A14">
        <v>157.4</v>
      </c>
      <c r="B14">
        <f>ABS(A14-obs!A14)</f>
        <v>96.6</v>
      </c>
    </row>
    <row r="15" spans="1:5" x14ac:dyDescent="0.25">
      <c r="A15">
        <v>161.4</v>
      </c>
      <c r="B15">
        <f>ABS(A15-obs!A15)</f>
        <v>4.4000000000000057</v>
      </c>
    </row>
    <row r="16" spans="1:5" x14ac:dyDescent="0.25">
      <c r="A16">
        <v>144.5</v>
      </c>
      <c r="B16">
        <f>ABS(A16-obs!A16)</f>
        <v>24.5</v>
      </c>
    </row>
    <row r="17" spans="1:2" x14ac:dyDescent="0.25">
      <c r="A17">
        <v>139</v>
      </c>
      <c r="B17">
        <f>ABS(A17-obs!A17)</f>
        <v>56</v>
      </c>
    </row>
    <row r="18" spans="1:2" x14ac:dyDescent="0.25">
      <c r="A18">
        <v>140.80000000000001</v>
      </c>
      <c r="B18">
        <f>ABS(A18-obs!A18)</f>
        <v>26.800000000000011</v>
      </c>
    </row>
    <row r="19" spans="1:2" x14ac:dyDescent="0.25">
      <c r="A19">
        <v>139.80000000000001</v>
      </c>
      <c r="B19">
        <f>ABS(A19-obs!A19)</f>
        <v>42.800000000000011</v>
      </c>
    </row>
    <row r="20" spans="1:2" x14ac:dyDescent="0.25">
      <c r="A20">
        <v>160.9</v>
      </c>
      <c r="B20">
        <f>ABS(A20-obs!A20)</f>
        <v>25.900000000000006</v>
      </c>
    </row>
    <row r="21" spans="1:2" x14ac:dyDescent="0.25">
      <c r="A21">
        <v>173.1</v>
      </c>
      <c r="B21">
        <f>ABS(A21-obs!A21)</f>
        <v>47.099999999999994</v>
      </c>
    </row>
    <row r="22" spans="1:2" x14ac:dyDescent="0.25">
      <c r="A22">
        <v>165.4</v>
      </c>
      <c r="B22">
        <f>ABS(A22-obs!A22)</f>
        <v>81.400000000000006</v>
      </c>
    </row>
    <row r="23" spans="1:2" x14ac:dyDescent="0.25">
      <c r="A23">
        <v>181.4</v>
      </c>
      <c r="B23">
        <f>ABS(A23-obs!A23)</f>
        <v>112.73333587646485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A23"/>
    </sheetView>
  </sheetViews>
  <sheetFormatPr defaultRowHeight="15" x14ac:dyDescent="0.25"/>
  <sheetData>
    <row r="1" spans="1:5" x14ac:dyDescent="0.25">
      <c r="A1">
        <v>131</v>
      </c>
      <c r="B1">
        <f>ABS(A1-obs!A1)</f>
        <v>28</v>
      </c>
      <c r="C1">
        <f>AVERAGE(B:B)</f>
        <v>28.453623298976733</v>
      </c>
      <c r="D1">
        <f>CORREL(A1:A23,obs!A1:A23)</f>
        <v>-0.24859902344936141</v>
      </c>
      <c r="E1">
        <f>AVERAGE(A:A)</f>
        <v>129.33478260869563</v>
      </c>
    </row>
    <row r="2" spans="1:5" x14ac:dyDescent="0.25">
      <c r="A2">
        <v>130.69999999999999</v>
      </c>
      <c r="B2">
        <f>ABS(A2-obs!A2)</f>
        <v>24.800000000000011</v>
      </c>
    </row>
    <row r="3" spans="1:5" x14ac:dyDescent="0.25">
      <c r="A3">
        <v>130.1</v>
      </c>
      <c r="B3">
        <f>ABS(A3-obs!A3)</f>
        <v>13.900000000000006</v>
      </c>
    </row>
    <row r="4" spans="1:5" x14ac:dyDescent="0.25">
      <c r="A4">
        <v>130.5</v>
      </c>
      <c r="B4">
        <f>ABS(A4-obs!A4)</f>
        <v>23.5</v>
      </c>
    </row>
    <row r="5" spans="1:5" x14ac:dyDescent="0.25">
      <c r="A5">
        <v>129.1</v>
      </c>
      <c r="B5">
        <f>ABS(A5-obs!A5)</f>
        <v>36.099999999999994</v>
      </c>
    </row>
    <row r="6" spans="1:5" x14ac:dyDescent="0.25">
      <c r="A6">
        <v>126.9</v>
      </c>
      <c r="B6">
        <f>ABS(A6-obs!A6)</f>
        <v>9.9000000000000057</v>
      </c>
    </row>
    <row r="7" spans="1:5" x14ac:dyDescent="0.25">
      <c r="A7">
        <v>125.5</v>
      </c>
      <c r="B7">
        <f>ABS(A7-obs!A7)</f>
        <v>8.5</v>
      </c>
    </row>
    <row r="8" spans="1:5" x14ac:dyDescent="0.25">
      <c r="A8">
        <v>125.4</v>
      </c>
      <c r="B8">
        <f>ABS(A8-obs!A8)</f>
        <v>3.0999999999999943</v>
      </c>
    </row>
    <row r="9" spans="1:5" x14ac:dyDescent="0.25">
      <c r="A9">
        <v>124.7</v>
      </c>
      <c r="B9">
        <f>ABS(A9-obs!A9)</f>
        <v>17.299999999999997</v>
      </c>
    </row>
    <row r="10" spans="1:5" x14ac:dyDescent="0.25">
      <c r="A10">
        <v>124.5</v>
      </c>
      <c r="B10">
        <f>ABS(A10-obs!A10)</f>
        <v>2.5</v>
      </c>
    </row>
    <row r="11" spans="1:5" x14ac:dyDescent="0.25">
      <c r="A11">
        <v>126.1</v>
      </c>
      <c r="B11">
        <f>ABS(A11-obs!A11)</f>
        <v>7.0999999999999943</v>
      </c>
    </row>
    <row r="12" spans="1:5" x14ac:dyDescent="0.25">
      <c r="A12">
        <v>127.5</v>
      </c>
      <c r="B12">
        <f>ABS(A12-obs!A12)</f>
        <v>21.5</v>
      </c>
    </row>
    <row r="13" spans="1:5" x14ac:dyDescent="0.25">
      <c r="A13">
        <v>128.6</v>
      </c>
      <c r="B13">
        <f>ABS(A13-obs!A13)</f>
        <v>11.400000000000006</v>
      </c>
    </row>
    <row r="14" spans="1:5" x14ac:dyDescent="0.25">
      <c r="A14">
        <v>129.69999999999999</v>
      </c>
      <c r="B14">
        <f>ABS(A14-obs!A14)</f>
        <v>124.30000000000001</v>
      </c>
    </row>
    <row r="15" spans="1:5" x14ac:dyDescent="0.25">
      <c r="A15">
        <v>130.6</v>
      </c>
      <c r="B15">
        <f>ABS(A15-obs!A15)</f>
        <v>26.400000000000006</v>
      </c>
    </row>
    <row r="16" spans="1:5" x14ac:dyDescent="0.25">
      <c r="A16">
        <v>128</v>
      </c>
      <c r="B16">
        <f>ABS(A16-obs!A16)</f>
        <v>41</v>
      </c>
    </row>
    <row r="17" spans="1:2" x14ac:dyDescent="0.25">
      <c r="A17">
        <v>127.1</v>
      </c>
      <c r="B17">
        <f>ABS(A17-obs!A17)</f>
        <v>67.900000000000006</v>
      </c>
    </row>
    <row r="18" spans="1:2" x14ac:dyDescent="0.25">
      <c r="A18">
        <v>128.80000000000001</v>
      </c>
      <c r="B18">
        <f>ABS(A18-obs!A18)</f>
        <v>14.800000000000011</v>
      </c>
    </row>
    <row r="19" spans="1:2" x14ac:dyDescent="0.25">
      <c r="A19">
        <v>124.7</v>
      </c>
      <c r="B19">
        <f>ABS(A19-obs!A19)</f>
        <v>27.700000000000003</v>
      </c>
    </row>
    <row r="20" spans="1:2" x14ac:dyDescent="0.25">
      <c r="A20">
        <v>128.4</v>
      </c>
      <c r="B20">
        <f>ABS(A20-obs!A20)</f>
        <v>6.5999999999999943</v>
      </c>
    </row>
    <row r="21" spans="1:2" x14ac:dyDescent="0.25">
      <c r="A21">
        <v>137.6</v>
      </c>
      <c r="B21">
        <f>ABS(A21-obs!A21)</f>
        <v>11.599999999999994</v>
      </c>
    </row>
    <row r="22" spans="1:2" x14ac:dyDescent="0.25">
      <c r="A22">
        <v>136.30000000000001</v>
      </c>
      <c r="B22">
        <f>ABS(A22-obs!A22)</f>
        <v>52.300000000000011</v>
      </c>
    </row>
    <row r="23" spans="1:2" x14ac:dyDescent="0.25">
      <c r="A23">
        <v>142.9</v>
      </c>
      <c r="B23">
        <f>ABS(A23-obs!A23)</f>
        <v>74.233335876464849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A23"/>
    </sheetView>
  </sheetViews>
  <sheetFormatPr defaultRowHeight="15" x14ac:dyDescent="0.25"/>
  <sheetData>
    <row r="1" spans="1:6" x14ac:dyDescent="0.25">
      <c r="A1">
        <v>177.93333435058594</v>
      </c>
      <c r="B1">
        <f>ABS(A1-obs!A1)</f>
        <v>18.933334350585938</v>
      </c>
      <c r="C1">
        <f>AVERAGE(B:B)</f>
        <v>41.50759323783543</v>
      </c>
      <c r="D1">
        <f>CORREL(A1:A23,obs!A1:A23)</f>
        <v>0.13035558475096923</v>
      </c>
      <c r="E1">
        <f>AVERAGE(A:A)</f>
        <v>162.45433110776156</v>
      </c>
      <c r="F1">
        <f>E1-AVERAGE(obs!A:A)</f>
        <v>29.642737015433937</v>
      </c>
    </row>
    <row r="2" spans="1:6" x14ac:dyDescent="0.25">
      <c r="A2">
        <v>176.72917175292969</v>
      </c>
      <c r="B2">
        <f>ABS(A2-obs!A2)</f>
        <v>21.229171752929688</v>
      </c>
    </row>
    <row r="3" spans="1:6" x14ac:dyDescent="0.25">
      <c r="A3">
        <v>175.65834045410156</v>
      </c>
      <c r="B3">
        <f>ABS(A3-obs!A3)</f>
        <v>31.658340454101563</v>
      </c>
    </row>
    <row r="4" spans="1:6" x14ac:dyDescent="0.25">
      <c r="A4">
        <v>174.85833740234375</v>
      </c>
      <c r="B4">
        <f>ABS(A4-obs!A4)</f>
        <v>67.85833740234375</v>
      </c>
    </row>
    <row r="5" spans="1:6" x14ac:dyDescent="0.25">
      <c r="A5">
        <v>166.78750610351562</v>
      </c>
      <c r="B5">
        <f>ABS(A5-obs!A5)</f>
        <v>73.787506103515625</v>
      </c>
    </row>
    <row r="6" spans="1:6" x14ac:dyDescent="0.25">
      <c r="A6">
        <v>157.80000305175781</v>
      </c>
      <c r="B6">
        <f>ABS(A6-obs!A6)</f>
        <v>40.800003051757812</v>
      </c>
    </row>
    <row r="7" spans="1:6" x14ac:dyDescent="0.25">
      <c r="A7">
        <v>153.60833740234375</v>
      </c>
      <c r="B7">
        <f>ABS(A7-obs!A7)</f>
        <v>36.60833740234375</v>
      </c>
    </row>
    <row r="8" spans="1:6" x14ac:dyDescent="0.25">
      <c r="A8">
        <v>152.42500305175781</v>
      </c>
      <c r="B8">
        <f>ABS(A8-obs!A8)</f>
        <v>23.925003051757813</v>
      </c>
    </row>
    <row r="9" spans="1:6" x14ac:dyDescent="0.25">
      <c r="A9">
        <v>150.44583129882813</v>
      </c>
      <c r="B9">
        <f>ABS(A9-obs!A9)</f>
        <v>8.445831298828125</v>
      </c>
    </row>
    <row r="10" spans="1:6" x14ac:dyDescent="0.25">
      <c r="A10">
        <v>149.80833435058594</v>
      </c>
      <c r="B10">
        <f>ABS(A10-obs!A10)</f>
        <v>22.808334350585938</v>
      </c>
    </row>
    <row r="11" spans="1:6" x14ac:dyDescent="0.25">
      <c r="A11">
        <v>155.45832824707031</v>
      </c>
      <c r="B11">
        <f>ABS(A11-obs!A11)</f>
        <v>36.458328247070313</v>
      </c>
    </row>
    <row r="12" spans="1:6" x14ac:dyDescent="0.25">
      <c r="A12">
        <v>161.70832824707031</v>
      </c>
      <c r="B12">
        <f>ABS(A12-obs!A12)</f>
        <v>55.708328247070312</v>
      </c>
    </row>
    <row r="13" spans="1:6" x14ac:dyDescent="0.25">
      <c r="A13">
        <v>165.78334045410156</v>
      </c>
      <c r="B13">
        <f>ABS(A13-obs!A13)</f>
        <v>25.783340454101563</v>
      </c>
    </row>
    <row r="14" spans="1:6" x14ac:dyDescent="0.25">
      <c r="A14">
        <v>171.14999389648437</v>
      </c>
      <c r="B14">
        <f>ABS(A14-obs!A14)</f>
        <v>82.850006103515625</v>
      </c>
    </row>
    <row r="15" spans="1:6" x14ac:dyDescent="0.25">
      <c r="A15">
        <v>174.17083740234375</v>
      </c>
      <c r="B15">
        <f>ABS(A15-obs!A15)</f>
        <v>17.17083740234375</v>
      </c>
    </row>
    <row r="16" spans="1:6" x14ac:dyDescent="0.25">
      <c r="A16">
        <v>157.95832824707031</v>
      </c>
      <c r="B16">
        <f>ABS(A16-obs!A16)</f>
        <v>11.041671752929688</v>
      </c>
    </row>
    <row r="17" spans="1:2" x14ac:dyDescent="0.25">
      <c r="A17">
        <v>152.44583129882812</v>
      </c>
      <c r="B17">
        <f>ABS(A17-obs!A17)</f>
        <v>42.554168701171875</v>
      </c>
    </row>
    <row r="18" spans="1:2" x14ac:dyDescent="0.25">
      <c r="A18">
        <v>152.04583740234375</v>
      </c>
      <c r="B18">
        <f>ABS(A18-obs!A18)</f>
        <v>38.04583740234375</v>
      </c>
    </row>
    <row r="19" spans="1:2" x14ac:dyDescent="0.25">
      <c r="A19">
        <v>149.88749694824219</v>
      </c>
      <c r="B19">
        <f>ABS(A19-obs!A19)</f>
        <v>52.887496948242188</v>
      </c>
    </row>
    <row r="20" spans="1:2" x14ac:dyDescent="0.25">
      <c r="A20">
        <v>155.492919921875</v>
      </c>
      <c r="B20">
        <f>ABS(A20-obs!A20)</f>
        <v>20.492919921875</v>
      </c>
    </row>
    <row r="21" spans="1:2" x14ac:dyDescent="0.25">
      <c r="A21">
        <v>165.22416687011719</v>
      </c>
      <c r="B21">
        <f>ABS(A21-obs!A21)</f>
        <v>39.224166870117188</v>
      </c>
    </row>
    <row r="22" spans="1:2" x14ac:dyDescent="0.25">
      <c r="A22">
        <v>169.0625</v>
      </c>
      <c r="B22">
        <f>ABS(A22-obs!A22)</f>
        <v>85.0625</v>
      </c>
    </row>
    <row r="23" spans="1:2" x14ac:dyDescent="0.25">
      <c r="A23">
        <v>170.00750732421875</v>
      </c>
      <c r="B23">
        <f>ABS(A23-obs!A23)</f>
        <v>101.34084320068359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240.2</v>
      </c>
    </row>
    <row r="2" spans="1:1" x14ac:dyDescent="0.25">
      <c r="A2">
        <v>236.5</v>
      </c>
    </row>
    <row r="3" spans="1:1" x14ac:dyDescent="0.25">
      <c r="A3">
        <v>233.2</v>
      </c>
    </row>
    <row r="4" spans="1:1" x14ac:dyDescent="0.25">
      <c r="A4">
        <v>233</v>
      </c>
    </row>
    <row r="5" spans="1:1" x14ac:dyDescent="0.25">
      <c r="A5">
        <v>211.3</v>
      </c>
    </row>
    <row r="6" spans="1:1" x14ac:dyDescent="0.25">
      <c r="A6">
        <v>188.8</v>
      </c>
    </row>
    <row r="7" spans="1:1" x14ac:dyDescent="0.25">
      <c r="A7">
        <v>177</v>
      </c>
    </row>
    <row r="8" spans="1:1" x14ac:dyDescent="0.25">
      <c r="A8">
        <v>173.7</v>
      </c>
    </row>
    <row r="9" spans="1:1" x14ac:dyDescent="0.25">
      <c r="A9">
        <v>168.1</v>
      </c>
    </row>
    <row r="10" spans="1:1" x14ac:dyDescent="0.25">
      <c r="A10">
        <v>165.4</v>
      </c>
    </row>
    <row r="11" spans="1:1" x14ac:dyDescent="0.25">
      <c r="A11">
        <v>169.5</v>
      </c>
    </row>
    <row r="12" spans="1:1" x14ac:dyDescent="0.25">
      <c r="A12">
        <v>194.2</v>
      </c>
    </row>
    <row r="13" spans="1:1" x14ac:dyDescent="0.25">
      <c r="A13">
        <v>207.1</v>
      </c>
    </row>
    <row r="14" spans="1:1" x14ac:dyDescent="0.25">
      <c r="A14">
        <v>221.8</v>
      </c>
    </row>
    <row r="15" spans="1:1" x14ac:dyDescent="0.25">
      <c r="A15">
        <v>231.2</v>
      </c>
    </row>
    <row r="16" spans="1:1" x14ac:dyDescent="0.25">
      <c r="A16">
        <v>185.6</v>
      </c>
    </row>
    <row r="17" spans="1:1" x14ac:dyDescent="0.25">
      <c r="A17">
        <v>157.5</v>
      </c>
    </row>
    <row r="18" spans="1:1" x14ac:dyDescent="0.25">
      <c r="A18">
        <v>155</v>
      </c>
    </row>
    <row r="19" spans="1:1" x14ac:dyDescent="0.25">
      <c r="A19">
        <v>158</v>
      </c>
    </row>
    <row r="20" spans="1:1" x14ac:dyDescent="0.25">
      <c r="A20">
        <v>225.5</v>
      </c>
    </row>
    <row r="21" spans="1:1" x14ac:dyDescent="0.25">
      <c r="A21">
        <v>240.9</v>
      </c>
    </row>
    <row r="22" spans="1:1" x14ac:dyDescent="0.25">
      <c r="A22">
        <v>231.1</v>
      </c>
    </row>
    <row r="23" spans="1:1" x14ac:dyDescent="0.25">
      <c r="A23">
        <v>246.7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163</v>
      </c>
    </row>
    <row r="2" spans="1:1" x14ac:dyDescent="0.25">
      <c r="A2">
        <v>162.1</v>
      </c>
    </row>
    <row r="3" spans="1:1" x14ac:dyDescent="0.25">
      <c r="A3">
        <v>164.7</v>
      </c>
    </row>
    <row r="4" spans="1:1" x14ac:dyDescent="0.25">
      <c r="A4">
        <v>168</v>
      </c>
    </row>
    <row r="5" spans="1:1" x14ac:dyDescent="0.25">
      <c r="A5">
        <v>175.2</v>
      </c>
    </row>
    <row r="6" spans="1:1" x14ac:dyDescent="0.25">
      <c r="A6">
        <v>184.9</v>
      </c>
    </row>
    <row r="7" spans="1:1" x14ac:dyDescent="0.25">
      <c r="A7">
        <v>190.3</v>
      </c>
    </row>
    <row r="8" spans="1:1" x14ac:dyDescent="0.25">
      <c r="A8">
        <v>192.5</v>
      </c>
    </row>
    <row r="9" spans="1:1" x14ac:dyDescent="0.25">
      <c r="A9">
        <v>195.2</v>
      </c>
    </row>
    <row r="10" spans="1:1" x14ac:dyDescent="0.25">
      <c r="A10">
        <v>196.2</v>
      </c>
    </row>
    <row r="11" spans="1:1" x14ac:dyDescent="0.25">
      <c r="A11">
        <v>186.3</v>
      </c>
    </row>
    <row r="12" spans="1:1" x14ac:dyDescent="0.25">
      <c r="A12">
        <v>175.8</v>
      </c>
    </row>
    <row r="13" spans="1:1" x14ac:dyDescent="0.25">
      <c r="A13">
        <v>168.2</v>
      </c>
    </row>
    <row r="14" spans="1:1" x14ac:dyDescent="0.25">
      <c r="A14">
        <v>162.19999999999999</v>
      </c>
    </row>
    <row r="15" spans="1:1" x14ac:dyDescent="0.25">
      <c r="A15">
        <v>160.69999999999999</v>
      </c>
    </row>
    <row r="16" spans="1:1" x14ac:dyDescent="0.25">
      <c r="A16">
        <v>175.9</v>
      </c>
    </row>
    <row r="17" spans="1:1" x14ac:dyDescent="0.25">
      <c r="A17">
        <v>190.6</v>
      </c>
    </row>
    <row r="18" spans="1:1" x14ac:dyDescent="0.25">
      <c r="A18">
        <v>196.1</v>
      </c>
    </row>
    <row r="19" spans="1:1" x14ac:dyDescent="0.25">
      <c r="A19">
        <v>196.6</v>
      </c>
    </row>
    <row r="20" spans="1:1" x14ac:dyDescent="0.25">
      <c r="A20">
        <v>145.6</v>
      </c>
    </row>
    <row r="21" spans="1:1" x14ac:dyDescent="0.25">
      <c r="A21">
        <v>152.4</v>
      </c>
    </row>
    <row r="22" spans="1:1" x14ac:dyDescent="0.25">
      <c r="A22">
        <v>153.1</v>
      </c>
    </row>
    <row r="23" spans="1:1" x14ac:dyDescent="0.25">
      <c r="A23">
        <v>149.19999999999999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174.5</v>
      </c>
    </row>
    <row r="2" spans="1:1" x14ac:dyDescent="0.25">
      <c r="A2">
        <v>171.9</v>
      </c>
    </row>
    <row r="3" spans="1:1" x14ac:dyDescent="0.25">
      <c r="A3">
        <v>170.3</v>
      </c>
    </row>
    <row r="4" spans="1:1" x14ac:dyDescent="0.25">
      <c r="A4">
        <v>171.3</v>
      </c>
    </row>
    <row r="5" spans="1:1" x14ac:dyDescent="0.25">
      <c r="A5">
        <v>158.19999999999999</v>
      </c>
    </row>
    <row r="6" spans="1:1" x14ac:dyDescent="0.25">
      <c r="A6">
        <v>145.1</v>
      </c>
    </row>
    <row r="7" spans="1:1" x14ac:dyDescent="0.25">
      <c r="A7">
        <v>138.6</v>
      </c>
    </row>
    <row r="8" spans="1:1" x14ac:dyDescent="0.25">
      <c r="A8">
        <v>137</v>
      </c>
    </row>
    <row r="9" spans="1:1" x14ac:dyDescent="0.25">
      <c r="A9">
        <v>134</v>
      </c>
    </row>
    <row r="10" spans="1:1" x14ac:dyDescent="0.25">
      <c r="A10">
        <v>132.5</v>
      </c>
    </row>
    <row r="11" spans="1:1" x14ac:dyDescent="0.25">
      <c r="A11">
        <v>133</v>
      </c>
    </row>
    <row r="12" spans="1:1" x14ac:dyDescent="0.25">
      <c r="A12">
        <v>147.1</v>
      </c>
    </row>
    <row r="13" spans="1:1" x14ac:dyDescent="0.25">
      <c r="A13">
        <v>154.1</v>
      </c>
    </row>
    <row r="14" spans="1:1" x14ac:dyDescent="0.25">
      <c r="A14">
        <v>162.6</v>
      </c>
    </row>
    <row r="15" spans="1:1" x14ac:dyDescent="0.25">
      <c r="A15">
        <v>168.8</v>
      </c>
    </row>
    <row r="16" spans="1:1" x14ac:dyDescent="0.25">
      <c r="A16">
        <v>142.69999999999999</v>
      </c>
    </row>
    <row r="17" spans="1:1" x14ac:dyDescent="0.25">
      <c r="A17">
        <v>127.5</v>
      </c>
    </row>
    <row r="18" spans="1:1" x14ac:dyDescent="0.25">
      <c r="A18">
        <v>129.1</v>
      </c>
    </row>
    <row r="19" spans="1:1" x14ac:dyDescent="0.25">
      <c r="A19">
        <v>128.30000000000001</v>
      </c>
    </row>
    <row r="20" spans="1:1" x14ac:dyDescent="0.25">
      <c r="A20">
        <v>169</v>
      </c>
    </row>
    <row r="21" spans="1:1" x14ac:dyDescent="0.25">
      <c r="A21">
        <v>181.8</v>
      </c>
    </row>
    <row r="22" spans="1:1" x14ac:dyDescent="0.25">
      <c r="A22">
        <v>174</v>
      </c>
    </row>
    <row r="23" spans="1:1" x14ac:dyDescent="0.25">
      <c r="A23">
        <v>189.3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133.80000000000001</v>
      </c>
    </row>
    <row r="2" spans="1:1" x14ac:dyDescent="0.25">
      <c r="A2">
        <v>133</v>
      </c>
    </row>
    <row r="3" spans="1:1" x14ac:dyDescent="0.25">
      <c r="A3">
        <v>132.69999999999999</v>
      </c>
    </row>
    <row r="4" spans="1:1" x14ac:dyDescent="0.25">
      <c r="A4">
        <v>133.30000000000001</v>
      </c>
    </row>
    <row r="5" spans="1:1" x14ac:dyDescent="0.25">
      <c r="A5">
        <v>129.6</v>
      </c>
    </row>
    <row r="6" spans="1:1" x14ac:dyDescent="0.25">
      <c r="A6">
        <v>125.4</v>
      </c>
    </row>
    <row r="7" spans="1:1" x14ac:dyDescent="0.25">
      <c r="A7">
        <v>123.6</v>
      </c>
    </row>
    <row r="8" spans="1:1" x14ac:dyDescent="0.25">
      <c r="A8">
        <v>123.3</v>
      </c>
    </row>
    <row r="9" spans="1:1" x14ac:dyDescent="0.25">
      <c r="A9">
        <v>122.6</v>
      </c>
    </row>
    <row r="10" spans="1:1" x14ac:dyDescent="0.25">
      <c r="A10">
        <v>122.2</v>
      </c>
    </row>
    <row r="11" spans="1:1" x14ac:dyDescent="0.25">
      <c r="A11">
        <v>123.5</v>
      </c>
    </row>
    <row r="12" spans="1:1" x14ac:dyDescent="0.25">
      <c r="A12">
        <v>127.3</v>
      </c>
    </row>
    <row r="13" spans="1:1" x14ac:dyDescent="0.25">
      <c r="A13">
        <v>128.9</v>
      </c>
    </row>
    <row r="14" spans="1:1" x14ac:dyDescent="0.25">
      <c r="A14">
        <v>130.5</v>
      </c>
    </row>
    <row r="15" spans="1:1" x14ac:dyDescent="0.25">
      <c r="A15">
        <v>132.19999999999999</v>
      </c>
    </row>
    <row r="16" spans="1:1" x14ac:dyDescent="0.25">
      <c r="A16">
        <v>127.3</v>
      </c>
    </row>
    <row r="17" spans="1:1" x14ac:dyDescent="0.25">
      <c r="A17">
        <v>124.1</v>
      </c>
    </row>
    <row r="18" spans="1:1" x14ac:dyDescent="0.25">
      <c r="A18">
        <v>126.3</v>
      </c>
    </row>
    <row r="19" spans="1:1" x14ac:dyDescent="0.25">
      <c r="A19">
        <v>121.9</v>
      </c>
    </row>
    <row r="20" spans="1:1" x14ac:dyDescent="0.25">
      <c r="A20">
        <v>130.30000000000001</v>
      </c>
    </row>
    <row r="21" spans="1:1" x14ac:dyDescent="0.25">
      <c r="A21">
        <v>139.6</v>
      </c>
    </row>
    <row r="22" spans="1:1" x14ac:dyDescent="0.25">
      <c r="A22">
        <v>138.19999999999999</v>
      </c>
    </row>
    <row r="23" spans="1:1" x14ac:dyDescent="0.25">
      <c r="A23">
        <v>144.19999999999999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244.4</v>
      </c>
    </row>
    <row r="2" spans="1:1" x14ac:dyDescent="0.25">
      <c r="A2">
        <v>241.3</v>
      </c>
    </row>
    <row r="3" spans="1:1" x14ac:dyDescent="0.25">
      <c r="A3">
        <v>234.8</v>
      </c>
    </row>
    <row r="4" spans="1:1" x14ac:dyDescent="0.25">
      <c r="A4">
        <v>230.2</v>
      </c>
    </row>
    <row r="5" spans="1:1" x14ac:dyDescent="0.25">
      <c r="A5">
        <v>212.2</v>
      </c>
    </row>
    <row r="6" spans="1:1" x14ac:dyDescent="0.25">
      <c r="A6">
        <v>189.3</v>
      </c>
    </row>
    <row r="7" spans="1:1" x14ac:dyDescent="0.25">
      <c r="A7">
        <v>176</v>
      </c>
    </row>
    <row r="8" spans="1:1" x14ac:dyDescent="0.25">
      <c r="A8">
        <v>168.1</v>
      </c>
    </row>
    <row r="9" spans="1:1" x14ac:dyDescent="0.25">
      <c r="A9">
        <v>161.6</v>
      </c>
    </row>
    <row r="10" spans="1:1" x14ac:dyDescent="0.25">
      <c r="A10">
        <v>160</v>
      </c>
    </row>
    <row r="11" spans="1:1" x14ac:dyDescent="0.25">
      <c r="A11">
        <v>173.2</v>
      </c>
    </row>
    <row r="12" spans="1:1" x14ac:dyDescent="0.25">
      <c r="A12">
        <v>182.8</v>
      </c>
    </row>
    <row r="13" spans="1:1" x14ac:dyDescent="0.25">
      <c r="A13">
        <v>203.4</v>
      </c>
    </row>
    <row r="14" spans="1:1" x14ac:dyDescent="0.25">
      <c r="A14">
        <v>224.1</v>
      </c>
    </row>
    <row r="15" spans="1:1" x14ac:dyDescent="0.25">
      <c r="A15">
        <v>235.8</v>
      </c>
    </row>
    <row r="16" spans="1:1" x14ac:dyDescent="0.25">
      <c r="A16">
        <v>176</v>
      </c>
    </row>
    <row r="17" spans="1:1" x14ac:dyDescent="0.25">
      <c r="A17">
        <v>159.9</v>
      </c>
    </row>
    <row r="18" spans="1:1" x14ac:dyDescent="0.25">
      <c r="A18">
        <v>160</v>
      </c>
    </row>
    <row r="19" spans="1:1" x14ac:dyDescent="0.25">
      <c r="A19">
        <v>161.5</v>
      </c>
    </row>
    <row r="20" spans="1:1" x14ac:dyDescent="0.25">
      <c r="A20">
        <v>226.4</v>
      </c>
    </row>
    <row r="21" spans="1:1" x14ac:dyDescent="0.25">
      <c r="A21">
        <v>241.5</v>
      </c>
    </row>
    <row r="22" spans="1:1" x14ac:dyDescent="0.25">
      <c r="A22">
        <v>225.3</v>
      </c>
    </row>
    <row r="23" spans="1:1" x14ac:dyDescent="0.25">
      <c r="A23">
        <v>246.9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156.30000000000001</v>
      </c>
    </row>
    <row r="2" spans="1:1" x14ac:dyDescent="0.25">
      <c r="A2">
        <v>155.80000000000001</v>
      </c>
    </row>
    <row r="3" spans="1:1" x14ac:dyDescent="0.25">
      <c r="A3">
        <v>159.4</v>
      </c>
    </row>
    <row r="4" spans="1:1" x14ac:dyDescent="0.25">
      <c r="A4">
        <v>165</v>
      </c>
    </row>
    <row r="5" spans="1:1" x14ac:dyDescent="0.25">
      <c r="A5">
        <v>174.2</v>
      </c>
    </row>
    <row r="6" spans="1:1" x14ac:dyDescent="0.25">
      <c r="A6">
        <v>188.5</v>
      </c>
    </row>
    <row r="7" spans="1:1" x14ac:dyDescent="0.25">
      <c r="A7">
        <v>195</v>
      </c>
    </row>
    <row r="8" spans="1:1" x14ac:dyDescent="0.25">
      <c r="A8">
        <v>199.1</v>
      </c>
    </row>
    <row r="9" spans="1:1" x14ac:dyDescent="0.25">
      <c r="A9">
        <v>202</v>
      </c>
    </row>
    <row r="10" spans="1:1" x14ac:dyDescent="0.25">
      <c r="A10">
        <v>202.2</v>
      </c>
    </row>
    <row r="11" spans="1:1" x14ac:dyDescent="0.25">
      <c r="A11">
        <v>191.3</v>
      </c>
    </row>
    <row r="12" spans="1:1" x14ac:dyDescent="0.25">
      <c r="A12">
        <v>182.5</v>
      </c>
    </row>
    <row r="13" spans="1:1" x14ac:dyDescent="0.25">
      <c r="A13">
        <v>168.4</v>
      </c>
    </row>
    <row r="14" spans="1:1" x14ac:dyDescent="0.25">
      <c r="A14">
        <v>157.80000000000001</v>
      </c>
    </row>
    <row r="15" spans="1:1" x14ac:dyDescent="0.25">
      <c r="A15">
        <v>155</v>
      </c>
    </row>
    <row r="16" spans="1:1" x14ac:dyDescent="0.25">
      <c r="A16">
        <v>184.2</v>
      </c>
    </row>
    <row r="17" spans="1:1" x14ac:dyDescent="0.25">
      <c r="A17">
        <v>196.9</v>
      </c>
    </row>
    <row r="18" spans="1:1" x14ac:dyDescent="0.25">
      <c r="A18">
        <v>199.9</v>
      </c>
    </row>
    <row r="19" spans="1:1" x14ac:dyDescent="0.25">
      <c r="A19">
        <v>199.9</v>
      </c>
    </row>
    <row r="20" spans="1:1" x14ac:dyDescent="0.25">
      <c r="A20">
        <v>138.69999999999999</v>
      </c>
    </row>
    <row r="21" spans="1:1" x14ac:dyDescent="0.25">
      <c r="A21">
        <v>145.19999999999999</v>
      </c>
    </row>
    <row r="22" spans="1:1" x14ac:dyDescent="0.25">
      <c r="A22">
        <v>150.6</v>
      </c>
    </row>
    <row r="23" spans="1:1" x14ac:dyDescent="0.25">
      <c r="A23">
        <v>141.4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175.4</v>
      </c>
    </row>
    <row r="2" spans="1:1" x14ac:dyDescent="0.25">
      <c r="A2">
        <v>173.2</v>
      </c>
    </row>
    <row r="3" spans="1:1" x14ac:dyDescent="0.25">
      <c r="A3">
        <v>170.2</v>
      </c>
    </row>
    <row r="4" spans="1:1" x14ac:dyDescent="0.25">
      <c r="A4">
        <v>168.9</v>
      </c>
    </row>
    <row r="5" spans="1:1" x14ac:dyDescent="0.25">
      <c r="A5">
        <v>158.9</v>
      </c>
    </row>
    <row r="6" spans="1:1" x14ac:dyDescent="0.25">
      <c r="A6">
        <v>146.5</v>
      </c>
    </row>
    <row r="7" spans="1:1" x14ac:dyDescent="0.25">
      <c r="A7">
        <v>139.1</v>
      </c>
    </row>
    <row r="8" spans="1:1" x14ac:dyDescent="0.25">
      <c r="A8">
        <v>134.80000000000001</v>
      </c>
    </row>
    <row r="9" spans="1:1" x14ac:dyDescent="0.25">
      <c r="A9">
        <v>131.1</v>
      </c>
    </row>
    <row r="10" spans="1:1" x14ac:dyDescent="0.25">
      <c r="A10">
        <v>130.1</v>
      </c>
    </row>
    <row r="11" spans="1:1" x14ac:dyDescent="0.25">
      <c r="A11">
        <v>136.9</v>
      </c>
    </row>
    <row r="12" spans="1:1" x14ac:dyDescent="0.25">
      <c r="A12">
        <v>140.9</v>
      </c>
    </row>
    <row r="13" spans="1:1" x14ac:dyDescent="0.25">
      <c r="A13">
        <v>151.4</v>
      </c>
    </row>
    <row r="14" spans="1:1" x14ac:dyDescent="0.25">
      <c r="A14">
        <v>162.5</v>
      </c>
    </row>
    <row r="15" spans="1:1" x14ac:dyDescent="0.25">
      <c r="A15">
        <v>169.8</v>
      </c>
    </row>
    <row r="16" spans="1:1" x14ac:dyDescent="0.25">
      <c r="A16">
        <v>138.30000000000001</v>
      </c>
    </row>
    <row r="17" spans="1:1" x14ac:dyDescent="0.25">
      <c r="A17">
        <v>130.80000000000001</v>
      </c>
    </row>
    <row r="18" spans="1:1" x14ac:dyDescent="0.25">
      <c r="A18">
        <v>133.4</v>
      </c>
    </row>
    <row r="19" spans="1:1" x14ac:dyDescent="0.25">
      <c r="A19">
        <v>131.1</v>
      </c>
    </row>
    <row r="20" spans="1:1" x14ac:dyDescent="0.25">
      <c r="A20">
        <v>167.6</v>
      </c>
    </row>
    <row r="21" spans="1:1" x14ac:dyDescent="0.25">
      <c r="A21">
        <v>180.8</v>
      </c>
    </row>
    <row r="22" spans="1:1" x14ac:dyDescent="0.25">
      <c r="A22">
        <v>170.1</v>
      </c>
    </row>
    <row r="23" spans="1:1" x14ac:dyDescent="0.25">
      <c r="A23">
        <v>188.9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133.5</v>
      </c>
    </row>
    <row r="2" spans="1:1" x14ac:dyDescent="0.25">
      <c r="A2">
        <v>132.9</v>
      </c>
    </row>
    <row r="3" spans="1:1" x14ac:dyDescent="0.25">
      <c r="A3">
        <v>132.30000000000001</v>
      </c>
    </row>
    <row r="4" spans="1:1" x14ac:dyDescent="0.25">
      <c r="A4">
        <v>132.19999999999999</v>
      </c>
    </row>
    <row r="5" spans="1:1" x14ac:dyDescent="0.25">
      <c r="A5">
        <v>129.4</v>
      </c>
    </row>
    <row r="6" spans="1:1" x14ac:dyDescent="0.25">
      <c r="A6">
        <v>125.7</v>
      </c>
    </row>
    <row r="7" spans="1:1" x14ac:dyDescent="0.25">
      <c r="A7">
        <v>124</v>
      </c>
    </row>
    <row r="8" spans="1:1" x14ac:dyDescent="0.25">
      <c r="A8">
        <v>123.2</v>
      </c>
    </row>
    <row r="9" spans="1:1" x14ac:dyDescent="0.25">
      <c r="A9">
        <v>122.4</v>
      </c>
    </row>
    <row r="10" spans="1:1" x14ac:dyDescent="0.25">
      <c r="A10">
        <v>122.2</v>
      </c>
    </row>
    <row r="11" spans="1:1" x14ac:dyDescent="0.25">
      <c r="A11">
        <v>124.5</v>
      </c>
    </row>
    <row r="12" spans="1:1" x14ac:dyDescent="0.25">
      <c r="A12">
        <v>125.7</v>
      </c>
    </row>
    <row r="13" spans="1:1" x14ac:dyDescent="0.25">
      <c r="A13">
        <v>128.1</v>
      </c>
    </row>
    <row r="14" spans="1:1" x14ac:dyDescent="0.25">
      <c r="A14">
        <v>130.30000000000001</v>
      </c>
    </row>
    <row r="15" spans="1:1" x14ac:dyDescent="0.25">
      <c r="A15">
        <v>132.19999999999999</v>
      </c>
    </row>
    <row r="16" spans="1:1" x14ac:dyDescent="0.25">
      <c r="A16">
        <v>126.7</v>
      </c>
    </row>
    <row r="17" spans="1:1" x14ac:dyDescent="0.25">
      <c r="A17">
        <v>125.7</v>
      </c>
    </row>
    <row r="18" spans="1:1" x14ac:dyDescent="0.25">
      <c r="A18">
        <v>128</v>
      </c>
    </row>
    <row r="19" spans="1:1" x14ac:dyDescent="0.25">
      <c r="A19">
        <v>123</v>
      </c>
    </row>
    <row r="20" spans="1:1" x14ac:dyDescent="0.25">
      <c r="A20">
        <v>129.30000000000001</v>
      </c>
    </row>
    <row r="21" spans="1:1" x14ac:dyDescent="0.25">
      <c r="A21">
        <v>139.30000000000001</v>
      </c>
    </row>
    <row r="22" spans="1:1" x14ac:dyDescent="0.25">
      <c r="A22">
        <v>137.4</v>
      </c>
    </row>
    <row r="23" spans="1:1" x14ac:dyDescent="0.25">
      <c r="A23">
        <v>144.30000000000001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234.1</v>
      </c>
    </row>
    <row r="2" spans="1:1" x14ac:dyDescent="0.25">
      <c r="A2">
        <v>229.9</v>
      </c>
    </row>
    <row r="3" spans="1:1" x14ac:dyDescent="0.25">
      <c r="A3">
        <v>223.1</v>
      </c>
    </row>
    <row r="4" spans="1:1" x14ac:dyDescent="0.25">
      <c r="A4">
        <v>223.3</v>
      </c>
    </row>
    <row r="5" spans="1:1" x14ac:dyDescent="0.25">
      <c r="A5">
        <v>213.4</v>
      </c>
    </row>
    <row r="6" spans="1:1" x14ac:dyDescent="0.25">
      <c r="A6">
        <v>203.7</v>
      </c>
    </row>
    <row r="7" spans="1:1" x14ac:dyDescent="0.25">
      <c r="A7">
        <v>191.7</v>
      </c>
    </row>
    <row r="8" spans="1:1" x14ac:dyDescent="0.25">
      <c r="A8">
        <v>192.7</v>
      </c>
    </row>
    <row r="9" spans="1:1" x14ac:dyDescent="0.25">
      <c r="A9">
        <v>185.9</v>
      </c>
    </row>
    <row r="10" spans="1:1" x14ac:dyDescent="0.25">
      <c r="A10">
        <v>182.6</v>
      </c>
    </row>
    <row r="11" spans="1:1" x14ac:dyDescent="0.25">
      <c r="A11">
        <v>173.3</v>
      </c>
    </row>
    <row r="12" spans="1:1" x14ac:dyDescent="0.25">
      <c r="A12">
        <v>177.9</v>
      </c>
    </row>
    <row r="13" spans="1:1" x14ac:dyDescent="0.25">
      <c r="A13">
        <v>190.1</v>
      </c>
    </row>
    <row r="14" spans="1:1" x14ac:dyDescent="0.25">
      <c r="A14">
        <v>211.9</v>
      </c>
    </row>
    <row r="15" spans="1:1" x14ac:dyDescent="0.25">
      <c r="A15">
        <v>224.7</v>
      </c>
    </row>
    <row r="16" spans="1:1" x14ac:dyDescent="0.25">
      <c r="A16">
        <v>170.3</v>
      </c>
    </row>
    <row r="17" spans="1:1" x14ac:dyDescent="0.25">
      <c r="A17">
        <v>161.1</v>
      </c>
    </row>
    <row r="18" spans="1:1" x14ac:dyDescent="0.25">
      <c r="A18">
        <v>167.3</v>
      </c>
    </row>
    <row r="19" spans="1:1" x14ac:dyDescent="0.25">
      <c r="A19">
        <v>172.7</v>
      </c>
    </row>
    <row r="20" spans="1:1" x14ac:dyDescent="0.25">
      <c r="A20">
        <v>220.2</v>
      </c>
    </row>
    <row r="21" spans="1:1" x14ac:dyDescent="0.25">
      <c r="A21">
        <v>234.8</v>
      </c>
    </row>
    <row r="22" spans="1:1" x14ac:dyDescent="0.25">
      <c r="A22">
        <v>212.4</v>
      </c>
    </row>
    <row r="23" spans="1:1" x14ac:dyDescent="0.25">
      <c r="A23">
        <v>237.1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151.19999999999999</v>
      </c>
    </row>
    <row r="2" spans="1:1" x14ac:dyDescent="0.25">
      <c r="A2">
        <v>151.30000000000001</v>
      </c>
    </row>
    <row r="3" spans="1:1" x14ac:dyDescent="0.25">
      <c r="A3">
        <v>157.5</v>
      </c>
    </row>
    <row r="4" spans="1:1" x14ac:dyDescent="0.25">
      <c r="A4">
        <v>162.4</v>
      </c>
    </row>
    <row r="5" spans="1:1" x14ac:dyDescent="0.25">
      <c r="A5">
        <v>171</v>
      </c>
    </row>
    <row r="6" spans="1:1" x14ac:dyDescent="0.25">
      <c r="A6">
        <v>180.5</v>
      </c>
    </row>
    <row r="7" spans="1:1" x14ac:dyDescent="0.25">
      <c r="A7">
        <v>191.8</v>
      </c>
    </row>
    <row r="8" spans="1:1" x14ac:dyDescent="0.25">
      <c r="A8">
        <v>191.3</v>
      </c>
    </row>
    <row r="9" spans="1:1" x14ac:dyDescent="0.25">
      <c r="A9">
        <v>198</v>
      </c>
    </row>
    <row r="10" spans="1:1" x14ac:dyDescent="0.25">
      <c r="A10">
        <v>200.8</v>
      </c>
    </row>
    <row r="11" spans="1:1" x14ac:dyDescent="0.25">
      <c r="A11">
        <v>200.7</v>
      </c>
    </row>
    <row r="12" spans="1:1" x14ac:dyDescent="0.25">
      <c r="A12">
        <v>191.2</v>
      </c>
    </row>
    <row r="13" spans="1:1" x14ac:dyDescent="0.25">
      <c r="A13">
        <v>175.9</v>
      </c>
    </row>
    <row r="14" spans="1:1" x14ac:dyDescent="0.25">
      <c r="A14">
        <v>157.4</v>
      </c>
    </row>
    <row r="15" spans="1:1" x14ac:dyDescent="0.25">
      <c r="A15">
        <v>150.9</v>
      </c>
    </row>
    <row r="16" spans="1:1" x14ac:dyDescent="0.25">
      <c r="A16">
        <v>195.2</v>
      </c>
    </row>
    <row r="17" spans="1:1" x14ac:dyDescent="0.25">
      <c r="A17">
        <v>209.7</v>
      </c>
    </row>
    <row r="18" spans="1:1" x14ac:dyDescent="0.25">
      <c r="A18">
        <v>209.5</v>
      </c>
    </row>
    <row r="19" spans="1:1" x14ac:dyDescent="0.25">
      <c r="A19">
        <v>207.1</v>
      </c>
    </row>
    <row r="20" spans="1:1" x14ac:dyDescent="0.25">
      <c r="A20">
        <v>132.19999999999999</v>
      </c>
    </row>
    <row r="21" spans="1:1" x14ac:dyDescent="0.25">
      <c r="A21">
        <v>138.19999999999999</v>
      </c>
    </row>
    <row r="22" spans="1:1" x14ac:dyDescent="0.25">
      <c r="A22">
        <v>151.80000000000001</v>
      </c>
    </row>
    <row r="23" spans="1:1" x14ac:dyDescent="0.25">
      <c r="A23">
        <v>135.5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164.7</v>
      </c>
    </row>
    <row r="2" spans="1:1" x14ac:dyDescent="0.25">
      <c r="A2">
        <v>162</v>
      </c>
    </row>
    <row r="3" spans="1:1" x14ac:dyDescent="0.25">
      <c r="A3">
        <v>159.4</v>
      </c>
    </row>
    <row r="4" spans="1:1" x14ac:dyDescent="0.25">
      <c r="A4">
        <v>162</v>
      </c>
    </row>
    <row r="5" spans="1:1" x14ac:dyDescent="0.25">
      <c r="A5">
        <v>158.80000000000001</v>
      </c>
    </row>
    <row r="6" spans="1:1" x14ac:dyDescent="0.25">
      <c r="A6">
        <v>155.5</v>
      </c>
    </row>
    <row r="7" spans="1:1" x14ac:dyDescent="0.25">
      <c r="A7">
        <v>151.4</v>
      </c>
    </row>
    <row r="8" spans="1:1" x14ac:dyDescent="0.25">
      <c r="A8">
        <v>151.80000000000001</v>
      </c>
    </row>
    <row r="9" spans="1:1" x14ac:dyDescent="0.25">
      <c r="A9">
        <v>149.5</v>
      </c>
    </row>
    <row r="10" spans="1:1" x14ac:dyDescent="0.25">
      <c r="A10">
        <v>148.4</v>
      </c>
    </row>
    <row r="11" spans="1:1" x14ac:dyDescent="0.25">
      <c r="A11">
        <v>143.69999999999999</v>
      </c>
    </row>
    <row r="12" spans="1:1" x14ac:dyDescent="0.25">
      <c r="A12">
        <v>142.9</v>
      </c>
    </row>
    <row r="13" spans="1:1" x14ac:dyDescent="0.25">
      <c r="A13">
        <v>144.19999999999999</v>
      </c>
    </row>
    <row r="14" spans="1:1" x14ac:dyDescent="0.25">
      <c r="A14">
        <v>152.4</v>
      </c>
    </row>
    <row r="15" spans="1:1" x14ac:dyDescent="0.25">
      <c r="A15">
        <v>159.19999999999999</v>
      </c>
    </row>
    <row r="16" spans="1:1" x14ac:dyDescent="0.25">
      <c r="A16">
        <v>139.80000000000001</v>
      </c>
    </row>
    <row r="17" spans="1:1" x14ac:dyDescent="0.25">
      <c r="A17">
        <v>140.5</v>
      </c>
    </row>
    <row r="18" spans="1:1" x14ac:dyDescent="0.25">
      <c r="A18">
        <v>145.4</v>
      </c>
    </row>
    <row r="19" spans="1:1" x14ac:dyDescent="0.25">
      <c r="A19">
        <v>144.9</v>
      </c>
    </row>
    <row r="20" spans="1:1" x14ac:dyDescent="0.25">
      <c r="A20">
        <v>157</v>
      </c>
    </row>
    <row r="21" spans="1:1" x14ac:dyDescent="0.25">
      <c r="A21">
        <v>167.3</v>
      </c>
    </row>
    <row r="22" spans="1:1" x14ac:dyDescent="0.25">
      <c r="A22">
        <v>151.9</v>
      </c>
    </row>
    <row r="23" spans="1:1" x14ac:dyDescent="0.25">
      <c r="A23">
        <v>169.3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129.19999999999999</v>
      </c>
    </row>
    <row r="2" spans="1:1" x14ac:dyDescent="0.25">
      <c r="A2">
        <v>128.69999999999999</v>
      </c>
    </row>
    <row r="3" spans="1:1" x14ac:dyDescent="0.25">
      <c r="A3">
        <v>128.4</v>
      </c>
    </row>
    <row r="4" spans="1:1" x14ac:dyDescent="0.25">
      <c r="A4">
        <v>129.6</v>
      </c>
    </row>
    <row r="5" spans="1:1" x14ac:dyDescent="0.25">
      <c r="A5">
        <v>129.30000000000001</v>
      </c>
    </row>
    <row r="6" spans="1:1" x14ac:dyDescent="0.25">
      <c r="A6">
        <v>128.19999999999999</v>
      </c>
    </row>
    <row r="7" spans="1:1" x14ac:dyDescent="0.25">
      <c r="A7">
        <v>127.5</v>
      </c>
    </row>
    <row r="8" spans="1:1" x14ac:dyDescent="0.25">
      <c r="A8">
        <v>127.5</v>
      </c>
    </row>
    <row r="9" spans="1:1" x14ac:dyDescent="0.25">
      <c r="A9">
        <v>127.3</v>
      </c>
    </row>
    <row r="10" spans="1:1" x14ac:dyDescent="0.25">
      <c r="A10">
        <v>127.3</v>
      </c>
    </row>
    <row r="11" spans="1:1" x14ac:dyDescent="0.25">
      <c r="A11">
        <v>128.1</v>
      </c>
    </row>
    <row r="12" spans="1:1" x14ac:dyDescent="0.25">
      <c r="A12">
        <v>127.9</v>
      </c>
    </row>
    <row r="13" spans="1:1" x14ac:dyDescent="0.25">
      <c r="A13">
        <v>126.6</v>
      </c>
    </row>
    <row r="14" spans="1:1" x14ac:dyDescent="0.25">
      <c r="A14">
        <v>127</v>
      </c>
    </row>
    <row r="15" spans="1:1" x14ac:dyDescent="0.25">
      <c r="A15">
        <v>128.4</v>
      </c>
    </row>
    <row r="16" spans="1:1" x14ac:dyDescent="0.25">
      <c r="A16">
        <v>128.69999999999999</v>
      </c>
    </row>
    <row r="17" spans="1:1" x14ac:dyDescent="0.25">
      <c r="A17">
        <v>130.6</v>
      </c>
    </row>
    <row r="18" spans="1:1" x14ac:dyDescent="0.25">
      <c r="A18">
        <v>132.5</v>
      </c>
    </row>
    <row r="19" spans="1:1" x14ac:dyDescent="0.25">
      <c r="A19">
        <v>127.9</v>
      </c>
    </row>
    <row r="20" spans="1:1" x14ac:dyDescent="0.25">
      <c r="A20">
        <v>126.4</v>
      </c>
    </row>
    <row r="21" spans="1:1" x14ac:dyDescent="0.25">
      <c r="A21">
        <v>135.19999999999999</v>
      </c>
    </row>
    <row r="22" spans="1:1" x14ac:dyDescent="0.25">
      <c r="A22">
        <v>131.1</v>
      </c>
    </row>
    <row r="23" spans="1:1" x14ac:dyDescent="0.25">
      <c r="A23">
        <v>137.6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244.2</v>
      </c>
    </row>
    <row r="2" spans="1:1" x14ac:dyDescent="0.25">
      <c r="A2">
        <v>243.7</v>
      </c>
    </row>
    <row r="3" spans="1:1" x14ac:dyDescent="0.25">
      <c r="A3">
        <v>238.3</v>
      </c>
    </row>
    <row r="4" spans="1:1" x14ac:dyDescent="0.25">
      <c r="A4">
        <v>226.6</v>
      </c>
    </row>
    <row r="5" spans="1:1" x14ac:dyDescent="0.25">
      <c r="A5">
        <v>195.4</v>
      </c>
    </row>
    <row r="6" spans="1:1" x14ac:dyDescent="0.25">
      <c r="A6">
        <v>170.2</v>
      </c>
    </row>
    <row r="7" spans="1:1" x14ac:dyDescent="0.25">
      <c r="A7">
        <v>158.19999999999999</v>
      </c>
    </row>
    <row r="8" spans="1:1" x14ac:dyDescent="0.25">
      <c r="A8">
        <v>158.19999999999999</v>
      </c>
    </row>
    <row r="9" spans="1:1" x14ac:dyDescent="0.25">
      <c r="A9">
        <v>153.19999999999999</v>
      </c>
    </row>
    <row r="10" spans="1:1" x14ac:dyDescent="0.25">
      <c r="A10">
        <v>151.69999999999999</v>
      </c>
    </row>
    <row r="11" spans="1:1" x14ac:dyDescent="0.25">
      <c r="A11">
        <v>179</v>
      </c>
    </row>
    <row r="12" spans="1:1" x14ac:dyDescent="0.25">
      <c r="A12">
        <v>206.3</v>
      </c>
    </row>
    <row r="13" spans="1:1" x14ac:dyDescent="0.25">
      <c r="A13">
        <v>222.1</v>
      </c>
    </row>
    <row r="14" spans="1:1" x14ac:dyDescent="0.25">
      <c r="A14">
        <v>238.5</v>
      </c>
    </row>
    <row r="15" spans="1:1" x14ac:dyDescent="0.25">
      <c r="A15">
        <v>242.3</v>
      </c>
    </row>
    <row r="16" spans="1:1" x14ac:dyDescent="0.25">
      <c r="A16">
        <v>201.8</v>
      </c>
    </row>
    <row r="17" spans="1:1" x14ac:dyDescent="0.25">
      <c r="A17">
        <v>172.2</v>
      </c>
    </row>
    <row r="18" spans="1:1" x14ac:dyDescent="0.25">
      <c r="A18">
        <v>160.4</v>
      </c>
    </row>
    <row r="19" spans="1:1" x14ac:dyDescent="0.25">
      <c r="A19">
        <v>155.80000000000001</v>
      </c>
    </row>
    <row r="20" spans="1:1" x14ac:dyDescent="0.25">
      <c r="A20">
        <v>234.2</v>
      </c>
    </row>
    <row r="21" spans="1:1" x14ac:dyDescent="0.25">
      <c r="A21">
        <v>250.3</v>
      </c>
    </row>
    <row r="22" spans="1:1" x14ac:dyDescent="0.25">
      <c r="A22">
        <v>238</v>
      </c>
    </row>
    <row r="23" spans="1:1" x14ac:dyDescent="0.25">
      <c r="A23">
        <v>253.3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184.4</v>
      </c>
    </row>
    <row r="2" spans="1:1" x14ac:dyDescent="0.25">
      <c r="A2">
        <v>182.2</v>
      </c>
    </row>
    <row r="3" spans="1:1" x14ac:dyDescent="0.25">
      <c r="A3">
        <v>183.9</v>
      </c>
    </row>
    <row r="4" spans="1:1" x14ac:dyDescent="0.25">
      <c r="A4">
        <v>184.5</v>
      </c>
    </row>
    <row r="5" spans="1:1" x14ac:dyDescent="0.25">
      <c r="A5">
        <v>179.1</v>
      </c>
    </row>
    <row r="6" spans="1:1" x14ac:dyDescent="0.25">
      <c r="A6">
        <v>176.1</v>
      </c>
    </row>
    <row r="7" spans="1:1" x14ac:dyDescent="0.25">
      <c r="A7">
        <v>172.4</v>
      </c>
    </row>
    <row r="8" spans="1:1" x14ac:dyDescent="0.25">
      <c r="A8">
        <v>173.7</v>
      </c>
    </row>
    <row r="9" spans="1:1" x14ac:dyDescent="0.25">
      <c r="A9">
        <v>172.1</v>
      </c>
    </row>
    <row r="10" spans="1:1" x14ac:dyDescent="0.25">
      <c r="A10">
        <v>171.1</v>
      </c>
    </row>
    <row r="11" spans="1:1" x14ac:dyDescent="0.25">
      <c r="A11">
        <v>174.8</v>
      </c>
    </row>
    <row r="12" spans="1:1" x14ac:dyDescent="0.25">
      <c r="A12">
        <v>178.7</v>
      </c>
    </row>
    <row r="13" spans="1:1" x14ac:dyDescent="0.25">
      <c r="A13">
        <v>178.1</v>
      </c>
    </row>
    <row r="14" spans="1:1" x14ac:dyDescent="0.25">
      <c r="A14">
        <v>177.5</v>
      </c>
    </row>
    <row r="15" spans="1:1" x14ac:dyDescent="0.25">
      <c r="A15">
        <v>178.4</v>
      </c>
    </row>
    <row r="16" spans="1:1" x14ac:dyDescent="0.25">
      <c r="A16">
        <v>173.6</v>
      </c>
    </row>
    <row r="17" spans="1:1" x14ac:dyDescent="0.25">
      <c r="A17">
        <v>172.4</v>
      </c>
    </row>
    <row r="18" spans="1:1" x14ac:dyDescent="0.25">
      <c r="A18">
        <v>172.4</v>
      </c>
    </row>
    <row r="19" spans="1:1" x14ac:dyDescent="0.25">
      <c r="A19">
        <v>170.3</v>
      </c>
    </row>
    <row r="20" spans="1:1" x14ac:dyDescent="0.25">
      <c r="A20">
        <v>157.5</v>
      </c>
    </row>
    <row r="21" spans="1:1" x14ac:dyDescent="0.25">
      <c r="A21">
        <v>162.6</v>
      </c>
    </row>
    <row r="22" spans="1:1" x14ac:dyDescent="0.25">
      <c r="A22">
        <v>162.9</v>
      </c>
    </row>
    <row r="23" spans="1:1" x14ac:dyDescent="0.25">
      <c r="A23">
        <v>158.5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205.8</v>
      </c>
    </row>
    <row r="2" spans="1:1" x14ac:dyDescent="0.25">
      <c r="A2">
        <v>202.7</v>
      </c>
    </row>
    <row r="3" spans="1:1" x14ac:dyDescent="0.25">
      <c r="A3">
        <v>197.7</v>
      </c>
    </row>
    <row r="4" spans="1:1" x14ac:dyDescent="0.25">
      <c r="A4">
        <v>185.1</v>
      </c>
    </row>
    <row r="5" spans="1:1" x14ac:dyDescent="0.25">
      <c r="A5">
        <v>145.19999999999999</v>
      </c>
    </row>
    <row r="6" spans="1:1" x14ac:dyDescent="0.25">
      <c r="A6">
        <v>117</v>
      </c>
    </row>
    <row r="7" spans="1:1" x14ac:dyDescent="0.25">
      <c r="A7">
        <v>106.2</v>
      </c>
    </row>
    <row r="8" spans="1:1" x14ac:dyDescent="0.25">
      <c r="A8">
        <v>106.5</v>
      </c>
    </row>
    <row r="9" spans="1:1" x14ac:dyDescent="0.25">
      <c r="A9">
        <v>102.4</v>
      </c>
    </row>
    <row r="10" spans="1:1" x14ac:dyDescent="0.25">
      <c r="A10">
        <v>101</v>
      </c>
    </row>
    <row r="11" spans="1:1" x14ac:dyDescent="0.25">
      <c r="A11">
        <v>126.7</v>
      </c>
    </row>
    <row r="12" spans="1:1" x14ac:dyDescent="0.25">
      <c r="A12">
        <v>157.5</v>
      </c>
    </row>
    <row r="13" spans="1:1" x14ac:dyDescent="0.25">
      <c r="A13">
        <v>171.7</v>
      </c>
    </row>
    <row r="14" spans="1:1" x14ac:dyDescent="0.25">
      <c r="A14">
        <v>192</v>
      </c>
    </row>
    <row r="15" spans="1:1" x14ac:dyDescent="0.25">
      <c r="A15">
        <v>197.5</v>
      </c>
    </row>
    <row r="16" spans="1:1" x14ac:dyDescent="0.25">
      <c r="A16">
        <v>147.4</v>
      </c>
    </row>
    <row r="17" spans="1:1" x14ac:dyDescent="0.25">
      <c r="A17">
        <v>120.1</v>
      </c>
    </row>
    <row r="18" spans="1:1" x14ac:dyDescent="0.25">
      <c r="A18">
        <v>112.2</v>
      </c>
    </row>
    <row r="19" spans="1:1" x14ac:dyDescent="0.25">
      <c r="A19">
        <v>104.4</v>
      </c>
    </row>
    <row r="20" spans="1:1" x14ac:dyDescent="0.25">
      <c r="A20">
        <v>187.4</v>
      </c>
    </row>
    <row r="21" spans="1:1" x14ac:dyDescent="0.25">
      <c r="A21">
        <v>197.4</v>
      </c>
    </row>
    <row r="22" spans="1:1" x14ac:dyDescent="0.25">
      <c r="A22">
        <v>174.8</v>
      </c>
    </row>
    <row r="23" spans="1:1" x14ac:dyDescent="0.25">
      <c r="A23">
        <v>197.9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sqref="A1:A23"/>
    </sheetView>
  </sheetViews>
  <sheetFormatPr defaultRowHeight="15" x14ac:dyDescent="0.25"/>
  <sheetData>
    <row r="1" spans="1:1" x14ac:dyDescent="0.25">
      <c r="A1">
        <v>148.1</v>
      </c>
    </row>
    <row r="2" spans="1:1" x14ac:dyDescent="0.25">
      <c r="A2">
        <v>146.9</v>
      </c>
    </row>
    <row r="3" spans="1:1" x14ac:dyDescent="0.25">
      <c r="A3">
        <v>145</v>
      </c>
    </row>
    <row r="4" spans="1:1" x14ac:dyDescent="0.25">
      <c r="A4">
        <v>140.30000000000001</v>
      </c>
    </row>
    <row r="5" spans="1:1" x14ac:dyDescent="0.25">
      <c r="A5">
        <v>125.3</v>
      </c>
    </row>
    <row r="6" spans="1:1" x14ac:dyDescent="0.25">
      <c r="A6">
        <v>114</v>
      </c>
    </row>
    <row r="7" spans="1:1" x14ac:dyDescent="0.25">
      <c r="A7">
        <v>109.9</v>
      </c>
    </row>
    <row r="8" spans="1:1" x14ac:dyDescent="0.25">
      <c r="A8">
        <v>110.1</v>
      </c>
    </row>
    <row r="9" spans="1:1" x14ac:dyDescent="0.25">
      <c r="A9">
        <v>108.6</v>
      </c>
    </row>
    <row r="10" spans="1:1" x14ac:dyDescent="0.25">
      <c r="A10">
        <v>108.1</v>
      </c>
    </row>
    <row r="11" spans="1:1" x14ac:dyDescent="0.25">
      <c r="A11">
        <v>119.1</v>
      </c>
    </row>
    <row r="12" spans="1:1" x14ac:dyDescent="0.25">
      <c r="A12">
        <v>130.30000000000001</v>
      </c>
    </row>
    <row r="13" spans="1:1" x14ac:dyDescent="0.25">
      <c r="A13">
        <v>135.4</v>
      </c>
    </row>
    <row r="14" spans="1:1" x14ac:dyDescent="0.25">
      <c r="A14">
        <v>143</v>
      </c>
    </row>
    <row r="15" spans="1:1" x14ac:dyDescent="0.25">
      <c r="A15">
        <v>145.1</v>
      </c>
    </row>
    <row r="16" spans="1:1" x14ac:dyDescent="0.25">
      <c r="A16">
        <v>127.4</v>
      </c>
    </row>
    <row r="17" spans="1:1" x14ac:dyDescent="0.25">
      <c r="A17">
        <v>118.3</v>
      </c>
    </row>
    <row r="18" spans="1:1" x14ac:dyDescent="0.25">
      <c r="A18">
        <v>117.1</v>
      </c>
    </row>
    <row r="19" spans="1:1" x14ac:dyDescent="0.25">
      <c r="A19">
        <v>110.1</v>
      </c>
    </row>
    <row r="20" spans="1:1" x14ac:dyDescent="0.25">
      <c r="A20">
        <v>139.4</v>
      </c>
    </row>
    <row r="21" spans="1:1" x14ac:dyDescent="0.25">
      <c r="A21">
        <v>148</v>
      </c>
    </row>
    <row r="22" spans="1:1" x14ac:dyDescent="0.25">
      <c r="A22">
        <v>139.5</v>
      </c>
    </row>
    <row r="23" spans="1:1" x14ac:dyDescent="0.25">
      <c r="A23">
        <v>149.9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Лист1</vt:lpstr>
      <vt:lpstr>obs</vt:lpstr>
      <vt:lpstr>01.hydrol1dep1</vt:lpstr>
      <vt:lpstr>02.hydrol1dep2</vt:lpstr>
      <vt:lpstr>03.hydrol1dep3</vt:lpstr>
      <vt:lpstr>04.hydrol1dep4</vt:lpstr>
      <vt:lpstr>05.hydrol2dep1</vt:lpstr>
      <vt:lpstr>06.hydrol2dep2</vt:lpstr>
      <vt:lpstr>07.hydrol2dep3</vt:lpstr>
      <vt:lpstr>08.hydrol2dep4</vt:lpstr>
      <vt:lpstr>Ens</vt:lpstr>
      <vt:lpstr>09.hydrol3dep1</vt:lpstr>
      <vt:lpstr>10.hydrol3dep2</vt:lpstr>
      <vt:lpstr>11.hydrol3dep3</vt:lpstr>
      <vt:lpstr>12.hydrol3dep4</vt:lpstr>
      <vt:lpstr>13.hydrol4dep1</vt:lpstr>
      <vt:lpstr>14.hydrol4dep2</vt:lpstr>
      <vt:lpstr>15.hydrol4dep3</vt:lpstr>
      <vt:lpstr>16.hydrol4dep4</vt:lpstr>
      <vt:lpstr>17.hydrol5dep1</vt:lpstr>
      <vt:lpstr>18.hydrol5dep2</vt:lpstr>
      <vt:lpstr>19.hydrol5dep3</vt:lpstr>
      <vt:lpstr>20.hydrol5dep4</vt:lpstr>
      <vt:lpstr>21.hydrol6dep1</vt:lpstr>
      <vt:lpstr>22.hydrol6dep2</vt:lpstr>
      <vt:lpstr>23.hydrol6dep3</vt:lpstr>
      <vt:lpstr>24.hydrol6dep4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Reviewer</cp:lastModifiedBy>
  <dcterms:created xsi:type="dcterms:W3CDTF">2025-07-29T18:42:02Z</dcterms:created>
  <dcterms:modified xsi:type="dcterms:W3CDTF">2025-08-20T14:37:44Z</dcterms:modified>
</cp:coreProperties>
</file>